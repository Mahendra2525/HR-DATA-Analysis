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E:\Excel\HR Data\"/>
    </mc:Choice>
  </mc:AlternateContent>
  <xr:revisionPtr revIDLastSave="0" documentId="13_ncr:1_{2C235030-6CC8-4E88-966B-FAF5C3C6ADE1}" xr6:coauthVersionLast="47" xr6:coauthVersionMax="47" xr10:uidLastSave="{00000000-0000-0000-0000-000000000000}"/>
  <bookViews>
    <workbookView xWindow="-110" yWindow="-110" windowWidth="19420" windowHeight="10420" firstSheet="1" activeTab="1" xr2:uid="{257FAC3B-248E-4204-8694-CDC88A970742}"/>
  </bookViews>
  <sheets>
    <sheet name="KPI" sheetId="2" r:id="rId1"/>
    <sheet name="DashBoard" sheetId="3" r:id="rId2"/>
    <sheet name="Rating" sheetId="4" r:id="rId3"/>
    <sheet name="Gender" sheetId="5" r:id="rId4"/>
    <sheet name="Education by Attrition" sheetId="6" r:id="rId5"/>
    <sheet name="Attrition by Job" sheetId="7" r:id="rId6"/>
    <sheet name="Dept wise Attrition" sheetId="8" r:id="rId7"/>
    <sheet name="Attrition by Age Group" sheetId="10" r:id="rId8"/>
    <sheet name="Marital Status" sheetId="11" r:id="rId9"/>
    <sheet name="HR Data" sheetId="1" r:id="rId10"/>
  </sheets>
  <definedNames>
    <definedName name="_xlchart.v1.2" hidden="1">'Attrition by Job'!$D$4:$D$12</definedName>
    <definedName name="_xlchart.v1.3" hidden="1">'Attrition by Job'!$E$4:$E$12</definedName>
    <definedName name="_xlchart.v1.4" hidden="1">'Attrition by Job'!$D$4:$D$12</definedName>
    <definedName name="_xlchart.v1.5" hidden="1">'Attrition by Job'!$E$4:$E$12</definedName>
    <definedName name="_xlchart.v2.0" hidden="1">'Marital Status'!$D$4:$D$6</definedName>
    <definedName name="_xlchart.v2.1" hidden="1">'Marital Status'!$E$4:$E$6</definedName>
    <definedName name="_xlchart.v2.6" hidden="1">'Marital Status'!$D$4:$D$6</definedName>
    <definedName name="_xlchart.v2.7" hidden="1">'Marital Status'!$E$4:$E$6</definedName>
    <definedName name="Slicer_Department">#N/A</definedName>
    <definedName name="Slicer_Education_Field1">#N/A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1" l="1"/>
  <c r="D4" i="11"/>
  <c r="D6" i="11"/>
  <c r="D5" i="7"/>
  <c r="D6" i="7"/>
  <c r="D7" i="7"/>
  <c r="D8" i="7"/>
  <c r="D9" i="7"/>
  <c r="D10" i="7"/>
  <c r="D11" i="7"/>
  <c r="D12" i="7"/>
  <c r="D4" i="7"/>
  <c r="C8" i="2"/>
  <c r="B9" i="5"/>
  <c r="E6" i="11"/>
  <c r="E7" i="7"/>
  <c r="E9" i="7"/>
  <c r="B8" i="2"/>
  <c r="B10" i="5"/>
  <c r="E5" i="7"/>
  <c r="E11" i="7"/>
  <c r="E4" i="7"/>
  <c r="E4" i="11"/>
  <c r="E12" i="7"/>
  <c r="A8" i="2"/>
  <c r="E5" i="11"/>
  <c r="E6" i="7"/>
  <c r="E8" i="7"/>
  <c r="B6" i="4"/>
  <c r="E10" i="7"/>
  <c r="C9" i="5" l="1"/>
  <c r="C10" i="5"/>
  <c r="B7" i="4"/>
  <c r="C7" i="4" s="1"/>
  <c r="C6" i="4"/>
  <c r="D8" i="2"/>
  <c r="E8" i="2"/>
</calcChain>
</file>

<file path=xl/sharedStrings.xml><?xml version="1.0" encoding="utf-8"?>
<sst xmlns="http://schemas.openxmlformats.org/spreadsheetml/2006/main" count="19215" uniqueCount="1571">
  <si>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</si>
  <si>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</si>
  <si>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</si>
  <si>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</si>
  <si>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</si>
  <si>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</si>
  <si>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</si>
  <si>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</si>
  <si>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</si>
  <si>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</si>
  <si>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</si>
  <si>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</si>
  <si>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</si>
  <si>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</si>
  <si>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</si>
  <si>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</si>
  <si>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</si>
  <si>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</si>
  <si>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</si>
  <si>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</si>
  <si>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</si>
  <si>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</si>
  <si>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</si>
  <si>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</si>
  <si>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</si>
  <si>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</si>
  <si>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</si>
  <si>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</si>
  <si>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</si>
  <si>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</si>
  <si>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</si>
  <si>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</si>
  <si>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</si>
  <si>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</si>
  <si>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</si>
  <si>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</si>
  <si>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</si>
  <si>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</si>
  <si>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</si>
  <si>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</si>
  <si>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</si>
  <si>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</si>
  <si>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</si>
  <si>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</si>
  <si>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</si>
  <si>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</si>
  <si>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</si>
  <si>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</si>
  <si>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</si>
  <si>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</si>
  <si>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</si>
  <si>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</si>
  <si>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</si>
  <si>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</si>
  <si>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</si>
  <si>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</si>
  <si>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</si>
  <si>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</si>
  <si>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</si>
  <si>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</si>
  <si>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</si>
  <si>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</si>
  <si>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</si>
  <si>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</si>
  <si>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</si>
  <si>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</si>
  <si>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</si>
  <si>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</si>
  <si>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</si>
  <si>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</si>
  <si>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</si>
  <si>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</si>
  <si>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</si>
  <si>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</si>
  <si>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</si>
  <si>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</si>
  <si>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</si>
  <si>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</si>
  <si>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</si>
  <si>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</si>
  <si>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</si>
  <si>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</si>
  <si>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</si>
  <si>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</si>
  <si>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</si>
  <si>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</si>
  <si>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</si>
  <si>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</si>
  <si>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</si>
  <si>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</si>
  <si>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</si>
  <si>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</si>
  <si>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</si>
  <si>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</si>
  <si>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</si>
  <si>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</si>
  <si>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</si>
  <si>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</si>
  <si>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</si>
  <si>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</si>
  <si>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</si>
  <si>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</si>
  <si>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</si>
  <si>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</si>
  <si>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</si>
  <si>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</si>
  <si>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</si>
  <si>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</si>
  <si>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</si>
  <si>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</si>
  <si>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</si>
  <si>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</si>
  <si>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</si>
  <si>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</si>
  <si>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</si>
  <si>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</si>
  <si>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</si>
  <si>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</si>
  <si>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</si>
  <si>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</si>
  <si>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</si>
  <si>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</si>
  <si>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</si>
  <si>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</si>
  <si>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</si>
  <si>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</si>
  <si>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</si>
  <si>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</si>
  <si>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</si>
  <si>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</si>
  <si>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</si>
  <si>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</si>
  <si>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</si>
  <si>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</si>
  <si>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</si>
  <si>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</si>
  <si>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</si>
  <si>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</si>
  <si>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</si>
  <si>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</si>
  <si>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</si>
  <si>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</si>
  <si>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</si>
  <si>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</si>
  <si>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</si>
  <si>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</si>
  <si>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</si>
  <si>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</si>
  <si>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</si>
  <si>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</si>
  <si>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</si>
  <si>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</si>
  <si>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</si>
  <si>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</si>
  <si>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</si>
  <si>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</si>
  <si>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</si>
  <si>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</si>
  <si>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</si>
  <si>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</si>
  <si>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</si>
  <si>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</si>
  <si>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</si>
  <si>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</si>
  <si>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</si>
  <si>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</si>
  <si>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</si>
  <si>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</si>
  <si>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</si>
  <si>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</si>
  <si>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</si>
  <si>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</si>
  <si>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</si>
  <si>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</si>
  <si>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</si>
  <si>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</si>
  <si>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</si>
  <si>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</si>
  <si>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</si>
  <si>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</si>
  <si>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</si>
  <si>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</si>
  <si>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</si>
  <si>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</si>
  <si>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</si>
  <si>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</si>
  <si>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</si>
  <si>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</si>
  <si>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</si>
  <si>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</si>
  <si>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</si>
  <si>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</si>
  <si>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</si>
  <si>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</si>
  <si>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</si>
  <si>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</si>
  <si>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</si>
  <si>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</si>
  <si>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</si>
  <si>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</si>
  <si>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</si>
  <si>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</si>
  <si>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</si>
  <si>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</si>
  <si>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</si>
  <si>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</si>
  <si>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</si>
  <si>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</si>
  <si>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</si>
  <si>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</si>
  <si>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</si>
  <si>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</si>
  <si>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</si>
  <si>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</si>
  <si>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</si>
  <si>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</si>
  <si>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</si>
  <si>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</si>
  <si>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</si>
  <si>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</si>
  <si>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</si>
  <si>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</si>
  <si>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</si>
  <si>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</si>
  <si>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</si>
  <si>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</si>
  <si>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</si>
  <si>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</si>
  <si>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</si>
  <si>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</si>
  <si>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</si>
  <si>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</si>
  <si>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</si>
  <si>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</si>
  <si>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</si>
  <si>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</si>
  <si>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</si>
  <si>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</si>
  <si>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</si>
  <si>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</si>
  <si>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</si>
  <si>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</si>
  <si>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</si>
  <si>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</si>
  <si>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</si>
  <si>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</si>
  <si>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</si>
  <si>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</si>
  <si>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</si>
  <si>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</si>
  <si>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</si>
  <si>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</si>
  <si>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</si>
  <si>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</si>
  <si>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</si>
  <si>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</si>
  <si>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</si>
  <si>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</si>
  <si>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</si>
  <si>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</si>
  <si>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</si>
  <si>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</si>
  <si>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</si>
  <si>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</si>
  <si>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</si>
  <si>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</si>
  <si>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</si>
  <si>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</si>
  <si>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</si>
  <si>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</si>
  <si>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</si>
  <si>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</si>
  <si>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</si>
  <si>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</si>
  <si>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</si>
  <si>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</si>
  <si>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</si>
  <si>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</si>
  <si>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</si>
  <si>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</si>
  <si>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</si>
  <si>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</si>
  <si>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</si>
  <si>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</si>
  <si>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</si>
  <si>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</si>
  <si>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</si>
  <si>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</si>
  <si>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</si>
  <si>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</si>
  <si>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</si>
  <si>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</si>
  <si>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</si>
  <si>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</si>
  <si>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</si>
  <si>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</si>
  <si>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</si>
  <si>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</si>
  <si>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</si>
  <si>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</si>
  <si>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</si>
  <si>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</si>
  <si>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</si>
  <si>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</si>
  <si>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</si>
  <si>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</si>
  <si>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</si>
  <si>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</si>
  <si>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</si>
  <si>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</si>
  <si>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</si>
  <si>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</si>
  <si>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</si>
  <si>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</si>
  <si>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</si>
  <si>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</si>
  <si>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</si>
  <si>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</si>
  <si>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</si>
  <si>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</si>
  <si>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</si>
  <si>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</si>
  <si>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</si>
  <si>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</si>
  <si>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</si>
  <si>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</si>
  <si>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</si>
  <si>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</si>
  <si>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</si>
  <si>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</si>
  <si>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</si>
  <si>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</si>
  <si>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</si>
  <si>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</si>
  <si>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</si>
  <si>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</si>
  <si>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</si>
  <si>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</si>
  <si>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</si>
  <si>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</si>
  <si>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</si>
  <si>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</si>
  <si>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</si>
  <si>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</si>
  <si>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</si>
  <si>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</si>
  <si>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</si>
  <si>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</si>
  <si>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</si>
  <si>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</si>
  <si>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</si>
  <si>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</si>
  <si>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</si>
  <si>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</si>
  <si>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</si>
  <si>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</si>
  <si>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</si>
  <si>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</si>
  <si>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</si>
  <si>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</si>
  <si>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</si>
  <si>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</si>
  <si>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</si>
  <si>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</si>
  <si>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</si>
  <si>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</si>
  <si>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</si>
  <si>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</si>
  <si>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</si>
  <si>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</si>
  <si>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</si>
  <si>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</si>
  <si>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</si>
  <si>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</si>
  <si>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</si>
  <si>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</si>
  <si>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</si>
  <si>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</si>
  <si>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</si>
  <si>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</si>
  <si>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</si>
  <si>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</si>
  <si>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</si>
  <si>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</si>
  <si>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</si>
  <si>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</si>
  <si>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</si>
  <si>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</si>
  <si>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</si>
  <si>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</si>
  <si>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</si>
  <si>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</si>
  <si>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</si>
  <si>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</si>
  <si>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</si>
  <si>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</si>
  <si>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</si>
  <si>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</si>
  <si>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</si>
  <si>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</si>
  <si>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</si>
  <si>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</si>
  <si>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</si>
  <si>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</si>
  <si>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</si>
  <si>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</si>
  <si>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</si>
  <si>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</si>
  <si>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</si>
  <si>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</si>
  <si>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</si>
  <si>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</si>
  <si>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</si>
  <si>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</si>
  <si>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</si>
  <si>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</si>
  <si>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</si>
  <si>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</si>
  <si>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</si>
  <si>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</si>
  <si>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</si>
  <si>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</si>
  <si>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</si>
  <si>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</si>
  <si>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</si>
  <si>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</si>
  <si>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</si>
  <si>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</si>
  <si>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</si>
  <si>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</si>
  <si>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</si>
  <si>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</si>
  <si>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</si>
  <si>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</si>
  <si>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</si>
  <si>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</si>
  <si>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</si>
  <si>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</si>
  <si>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</si>
  <si>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</si>
  <si>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</si>
  <si>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</si>
  <si>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</si>
  <si>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</si>
  <si>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</si>
  <si>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</si>
  <si>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</si>
  <si>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</si>
  <si>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</si>
  <si>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</si>
  <si>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</si>
  <si>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</si>
  <si>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</si>
  <si>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</si>
  <si>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</si>
  <si>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</si>
  <si>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</si>
  <si>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</si>
  <si>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</si>
  <si>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</si>
  <si>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</si>
  <si>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</si>
  <si>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</si>
  <si>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</si>
  <si>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</si>
  <si>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</si>
  <si>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</si>
  <si>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</si>
  <si>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</si>
  <si>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</si>
  <si>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</si>
  <si>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</si>
  <si>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</si>
  <si>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</si>
  <si>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</si>
  <si>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</si>
  <si>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</si>
  <si>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</si>
  <si>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</si>
  <si>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</si>
  <si>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</si>
  <si>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</si>
  <si>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</si>
  <si>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</si>
  <si>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</si>
  <si>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</si>
  <si>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</si>
  <si>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</si>
  <si>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</si>
  <si>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</si>
  <si>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</si>
  <si>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</si>
  <si>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</si>
  <si>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</si>
  <si>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</si>
  <si>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</si>
  <si>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</si>
  <si>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</si>
  <si>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</si>
  <si>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</si>
  <si>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</si>
  <si>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</si>
  <si>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</si>
  <si>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</si>
  <si>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</si>
  <si>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</si>
  <si>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</si>
  <si>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</si>
  <si>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</si>
  <si>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</si>
  <si>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</si>
  <si>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</si>
  <si>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</si>
  <si>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</si>
  <si>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</si>
  <si>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</si>
  <si>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</si>
  <si>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</si>
  <si>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</si>
  <si>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</si>
  <si>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</si>
  <si>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</si>
  <si>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</si>
  <si>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</si>
  <si>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</si>
  <si>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</si>
  <si>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</si>
  <si>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</si>
  <si>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</si>
  <si>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</si>
  <si>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</si>
  <si>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</si>
  <si>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</si>
  <si>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</si>
  <si>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</si>
  <si>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</si>
  <si>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</si>
  <si>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</si>
  <si>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</si>
  <si>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</si>
  <si>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</si>
  <si>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</si>
  <si>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</si>
  <si>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</si>
  <si>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</si>
  <si>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</si>
  <si>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</si>
  <si>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</si>
  <si>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</si>
  <si>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</si>
  <si>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</si>
  <si>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</si>
  <si>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</si>
  <si>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</si>
  <si>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</si>
  <si>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</si>
  <si>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</si>
  <si>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</si>
  <si>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</si>
  <si>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</si>
  <si>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</si>
  <si>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</si>
  <si>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</si>
  <si>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</si>
  <si>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</si>
  <si>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</si>
  <si>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</si>
  <si>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</si>
  <si>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</si>
  <si>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</si>
  <si>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</si>
  <si>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</si>
  <si>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</si>
  <si>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</si>
  <si>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</si>
  <si>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</si>
  <si>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</si>
  <si>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</si>
  <si>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</si>
  <si>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</si>
  <si>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</si>
  <si>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</si>
  <si>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</si>
  <si>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</si>
  <si>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</si>
  <si>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</si>
  <si>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</si>
  <si>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</si>
  <si>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</si>
  <si>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</si>
  <si>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</si>
  <si>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</si>
  <si>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</si>
  <si>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</si>
  <si>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</si>
  <si>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</si>
  <si>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</si>
  <si>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</si>
  <si>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</si>
  <si>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</si>
  <si>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</si>
  <si>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</si>
  <si>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</si>
  <si>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</si>
  <si>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</si>
  <si>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</si>
  <si>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</si>
  <si>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</si>
  <si>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</si>
  <si>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</si>
  <si>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</si>
  <si>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</si>
  <si>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</si>
  <si>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</si>
  <si>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</si>
  <si>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</si>
  <si>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</si>
  <si>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</si>
  <si>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</si>
  <si>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</si>
  <si>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</si>
  <si>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</si>
  <si>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</si>
  <si>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</si>
  <si>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</si>
  <si>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</si>
  <si>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</si>
  <si>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</si>
  <si>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</si>
  <si>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</si>
  <si>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</si>
  <si>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</si>
  <si>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</si>
  <si>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</si>
  <si>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</si>
  <si>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</si>
  <si>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</si>
  <si>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</si>
  <si>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</si>
  <si>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</si>
  <si>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</si>
  <si>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</si>
  <si>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</si>
  <si>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</si>
  <si>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</si>
  <si>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</si>
  <si>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</si>
  <si>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</si>
  <si>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</si>
  <si>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</si>
  <si>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</si>
  <si>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</si>
  <si>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</si>
  <si>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</si>
  <si>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</si>
  <si>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</si>
  <si>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</si>
  <si>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</si>
  <si>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</si>
  <si>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</si>
  <si>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</si>
  <si>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</si>
  <si>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</si>
  <si>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</si>
  <si>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</si>
  <si>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</si>
  <si>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</si>
  <si>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</si>
  <si>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</si>
  <si>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</si>
  <si>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</si>
  <si>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</si>
  <si>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</si>
  <si>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</si>
  <si>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</si>
  <si>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</si>
  <si>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</si>
  <si>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</si>
  <si>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</si>
  <si>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</si>
  <si>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</si>
  <si>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</si>
  <si>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</si>
  <si>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</si>
  <si>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</si>
  <si>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</si>
  <si>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</si>
  <si>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</si>
  <si>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</si>
  <si>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</si>
  <si>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</si>
  <si>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</si>
  <si>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</si>
  <si>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</si>
  <si>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</si>
  <si>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</si>
  <si>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</si>
  <si>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</si>
  <si>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</si>
  <si>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</si>
  <si>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</si>
  <si>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</si>
  <si>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</si>
  <si>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</si>
  <si>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</si>
  <si>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</si>
  <si>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</si>
  <si>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</si>
  <si>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</si>
  <si>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</si>
  <si>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</si>
  <si>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</si>
  <si>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</si>
  <si>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</si>
  <si>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</si>
  <si>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</si>
  <si>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</si>
  <si>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</si>
  <si>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</si>
  <si>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</si>
  <si>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</si>
  <si>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</si>
  <si>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</si>
  <si>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</si>
  <si>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</si>
  <si>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</si>
  <si>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</si>
  <si>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</si>
  <si>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</si>
  <si>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</si>
  <si>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</si>
  <si>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</si>
  <si>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</si>
  <si>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</si>
  <si>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</si>
  <si>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</si>
  <si>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</si>
  <si>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</si>
  <si>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</si>
  <si>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</si>
  <si>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</si>
  <si>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</si>
  <si>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</si>
  <si>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</si>
  <si>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</si>
  <si>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</si>
  <si>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</si>
  <si>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</si>
  <si>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</si>
  <si>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</si>
  <si>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</si>
  <si>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</si>
  <si>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</si>
  <si>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</si>
  <si>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</si>
  <si>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</si>
  <si>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</si>
  <si>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</si>
  <si>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</si>
  <si>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</si>
  <si>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</si>
  <si>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</si>
  <si>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</si>
  <si>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</si>
  <si>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</si>
  <si>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</si>
  <si>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</si>
  <si>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</si>
  <si>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</si>
  <si>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</si>
  <si>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</si>
  <si>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</si>
  <si>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</si>
  <si>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</si>
  <si>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</si>
  <si>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</si>
  <si>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</si>
  <si>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</si>
  <si>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</si>
  <si>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</si>
  <si>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</si>
  <si>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</si>
  <si>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</si>
  <si>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</si>
  <si>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</si>
  <si>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</si>
  <si>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</si>
  <si>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</si>
  <si>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</si>
  <si>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</si>
  <si>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</si>
  <si>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</si>
  <si>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</si>
  <si>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</si>
  <si>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</si>
  <si>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</si>
  <si>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</si>
  <si>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</si>
  <si>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</si>
  <si>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</si>
  <si>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</si>
  <si>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</si>
  <si>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</si>
  <si>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</si>
  <si>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</si>
  <si>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</si>
  <si>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</si>
  <si>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</si>
  <si>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</si>
  <si>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</si>
  <si>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</si>
  <si>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</si>
  <si>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</si>
  <si>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</si>
  <si>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</si>
  <si>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</si>
  <si>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</si>
  <si>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</si>
  <si>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</si>
  <si>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</si>
  <si>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</si>
  <si>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</si>
  <si>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</si>
  <si>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</si>
  <si>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</si>
  <si>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</si>
  <si>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</si>
  <si>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</si>
  <si>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</si>
  <si>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</si>
  <si>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</si>
  <si>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</si>
  <si>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</si>
  <si>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</si>
  <si>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</si>
  <si>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</si>
  <si>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</si>
  <si>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</si>
  <si>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</si>
  <si>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</si>
  <si>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</si>
  <si>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</si>
  <si>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</si>
  <si>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</si>
  <si>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</si>
  <si>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</si>
  <si>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</si>
  <si>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</si>
  <si>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</si>
  <si>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</si>
  <si>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</si>
  <si>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</si>
  <si>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</si>
  <si>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</si>
  <si>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</si>
  <si>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</si>
  <si>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</si>
  <si>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</si>
  <si>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</si>
  <si>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</si>
  <si>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</si>
  <si>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</si>
  <si>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</si>
  <si>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</si>
  <si>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</si>
  <si>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</si>
  <si>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</si>
  <si>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</si>
  <si>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</si>
  <si>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</si>
  <si>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</si>
  <si>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</si>
  <si>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</si>
  <si>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</si>
  <si>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</si>
  <si>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</si>
  <si>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</si>
  <si>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</si>
  <si>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</si>
  <si>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</si>
  <si>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</si>
  <si>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</si>
  <si>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</si>
  <si>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</si>
  <si>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</si>
  <si>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</si>
  <si>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</si>
  <si>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</si>
  <si>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</si>
  <si>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</si>
  <si>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</si>
  <si>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</si>
  <si>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</si>
  <si>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</si>
  <si>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</si>
  <si>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</si>
  <si>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</si>
  <si>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</si>
  <si>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</si>
  <si>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</si>
  <si>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</si>
  <si>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</si>
  <si>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</si>
  <si>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</si>
  <si>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</si>
  <si>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</si>
  <si>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</si>
  <si>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</si>
  <si>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</si>
  <si>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</si>
  <si>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</si>
  <si>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</si>
  <si>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</si>
  <si>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</si>
  <si>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</si>
  <si>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</si>
  <si>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</si>
  <si>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</si>
  <si>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</si>
  <si>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</si>
  <si>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</si>
  <si>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</si>
  <si>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</si>
  <si>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</si>
  <si>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</si>
  <si>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</si>
  <si>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</si>
  <si>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</si>
  <si>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</si>
  <si>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</si>
  <si>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</si>
  <si>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</si>
  <si>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</si>
  <si>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</si>
  <si>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</si>
  <si>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</si>
  <si>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</si>
  <si>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</si>
  <si>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</si>
  <si>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</si>
  <si>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</si>
  <si>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</si>
  <si>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</si>
  <si>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</si>
  <si>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</si>
  <si>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</si>
  <si>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</si>
  <si>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</si>
  <si>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</si>
  <si>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</si>
  <si>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</si>
  <si>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</si>
  <si>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</si>
  <si>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</si>
  <si>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</si>
  <si>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</si>
  <si>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</si>
  <si>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</si>
  <si>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</si>
  <si>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</si>
  <si>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</si>
  <si>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</si>
  <si>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</si>
  <si>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</si>
  <si>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</si>
  <si>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</si>
  <si>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</si>
  <si>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</si>
  <si>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</si>
  <si>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</si>
  <si>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</si>
  <si>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</si>
  <si>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</si>
  <si>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</si>
  <si>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</si>
  <si>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</si>
  <si>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</si>
  <si>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</si>
  <si>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</si>
  <si>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</si>
  <si>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</si>
  <si>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</si>
  <si>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</si>
  <si>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</si>
  <si>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</si>
  <si>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</si>
  <si>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</si>
  <si>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</si>
  <si>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</si>
  <si>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</si>
  <si>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</si>
  <si>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</si>
  <si>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</si>
  <si>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</si>
  <si>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</si>
  <si>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</si>
  <si>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</si>
  <si>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</si>
  <si>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</si>
  <si>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</si>
  <si>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</si>
  <si>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</si>
  <si>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</si>
  <si>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</si>
  <si>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</si>
  <si>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</si>
  <si>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</si>
  <si>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</si>
  <si>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</si>
  <si>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</si>
  <si>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</si>
  <si>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</si>
  <si>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</si>
  <si>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</si>
  <si>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</si>
  <si>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</si>
  <si>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</si>
  <si>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</si>
  <si>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</si>
  <si>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</si>
  <si>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</si>
  <si>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</si>
  <si>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</si>
  <si>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</si>
  <si>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</si>
  <si>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</si>
  <si>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</si>
  <si>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</si>
  <si>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</si>
  <si>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</si>
  <si>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</si>
  <si>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</si>
  <si>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</si>
  <si>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</si>
  <si>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</si>
  <si>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</si>
  <si>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</si>
  <si>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</si>
  <si>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</si>
  <si>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</si>
  <si>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</si>
  <si>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</si>
  <si>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</si>
  <si>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</si>
  <si>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</si>
  <si>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</si>
  <si>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</si>
  <si>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</si>
  <si>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</si>
  <si>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</si>
  <si>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</si>
  <si>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</si>
  <si>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</si>
  <si>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</si>
  <si>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</si>
  <si>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</si>
  <si>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</si>
  <si>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</si>
  <si>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</si>
  <si>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</si>
  <si>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</si>
  <si>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</si>
  <si>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</si>
  <si>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</si>
  <si>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</si>
  <si>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</si>
  <si>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</si>
  <si>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</si>
  <si>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</si>
  <si>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</si>
  <si>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</si>
  <si>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</si>
  <si>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</si>
  <si>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</si>
  <si>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</si>
  <si>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</si>
  <si>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</si>
  <si>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</si>
  <si>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</si>
  <si>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</si>
  <si>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</si>
  <si>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</si>
  <si>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</si>
  <si>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</si>
  <si>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</si>
  <si>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</si>
  <si>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</si>
  <si>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</si>
  <si>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</si>
  <si>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</si>
  <si>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</si>
  <si>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</si>
  <si>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</si>
  <si>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</si>
  <si>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</si>
  <si>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</si>
  <si>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</si>
  <si>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</si>
  <si>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</si>
  <si>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</si>
  <si>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</si>
  <si>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</si>
  <si>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</si>
  <si>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</si>
  <si>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</si>
  <si>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</si>
  <si>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</si>
  <si>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</si>
  <si>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</si>
  <si>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</si>
  <si>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</si>
  <si>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</si>
  <si>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</si>
  <si>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</si>
  <si>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</si>
  <si>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</si>
  <si>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</si>
  <si>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</si>
  <si>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</si>
  <si>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</si>
  <si>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</si>
  <si>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</si>
  <si>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</si>
  <si>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</si>
  <si>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</si>
  <si>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</si>
  <si>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</si>
  <si>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</si>
  <si>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</si>
  <si>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</si>
  <si>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</si>
  <si>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</si>
  <si>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</si>
  <si>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</si>
  <si>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</si>
  <si>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</si>
  <si>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</si>
  <si>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</si>
  <si>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</si>
  <si>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</si>
  <si>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</si>
  <si>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</si>
  <si>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</si>
  <si>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</si>
  <si>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</si>
  <si>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</si>
  <si>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</si>
  <si>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</si>
  <si>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</si>
  <si>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</si>
  <si>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</si>
  <si>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</si>
  <si>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</si>
  <si>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</si>
  <si>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</si>
  <si>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</si>
  <si>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</si>
  <si>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</si>
  <si>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</si>
  <si>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</si>
  <si>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</si>
  <si>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</si>
  <si>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</si>
  <si>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</si>
  <si>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</si>
  <si>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</si>
  <si>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</si>
  <si>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</si>
  <si>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</si>
  <si>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</si>
  <si>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</si>
  <si>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</si>
  <si>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</si>
  <si>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</si>
  <si>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</si>
  <si>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</si>
  <si>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</si>
  <si>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</si>
  <si>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</si>
  <si>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</si>
  <si>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</si>
  <si>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</si>
  <si>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</si>
  <si>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</si>
  <si>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</si>
  <si>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</si>
  <si>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</si>
  <si>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</si>
  <si>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</si>
  <si>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</si>
  <si>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</si>
  <si>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</si>
  <si>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</si>
  <si>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</si>
  <si>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</si>
  <si>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</si>
  <si>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</si>
  <si>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</si>
  <si>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</si>
  <si>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</si>
  <si>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</si>
  <si>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</si>
  <si>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</si>
  <si>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</si>
  <si>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</si>
  <si>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</si>
  <si>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</si>
  <si>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</si>
  <si>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</si>
  <si>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</si>
  <si>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</si>
  <si>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</si>
  <si>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</si>
  <si>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</si>
  <si>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</si>
  <si>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</si>
  <si>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</si>
  <si>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</si>
  <si>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</si>
  <si>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</si>
  <si>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</si>
  <si>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</si>
  <si>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</si>
  <si>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</si>
  <si>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</si>
  <si>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</si>
  <si>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</si>
  <si>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</si>
  <si>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</si>
  <si>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</si>
  <si>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</si>
  <si>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</si>
  <si>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</si>
  <si>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</si>
  <si>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</si>
  <si>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</si>
  <si>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</si>
  <si>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</si>
  <si>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</si>
  <si>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</si>
  <si>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</si>
  <si>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</si>
  <si>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</si>
  <si>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</si>
  <si>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</si>
  <si>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</si>
  <si>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</si>
  <si>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</si>
  <si>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</si>
  <si>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</si>
  <si>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</si>
  <si>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</si>
  <si>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</si>
  <si>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</si>
  <si>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</si>
  <si>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</si>
  <si>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</si>
  <si>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</si>
  <si>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</si>
  <si>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</si>
  <si>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</si>
  <si>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</si>
  <si>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</si>
  <si>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</si>
  <si>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</si>
  <si>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</si>
  <si>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</si>
  <si>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</si>
  <si>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</si>
  <si>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</si>
  <si>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</si>
  <si>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</si>
  <si>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</si>
  <si>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</si>
  <si>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</si>
  <si>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</si>
  <si>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</si>
  <si>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</si>
  <si>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</si>
  <si>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</si>
  <si>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</si>
  <si>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</si>
  <si>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</si>
  <si>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</si>
  <si>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</si>
  <si>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</si>
  <si>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</si>
  <si>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</si>
  <si>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</si>
  <si>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</si>
  <si>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</si>
  <si>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</si>
  <si>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</si>
  <si>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</si>
  <si>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</si>
  <si>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</si>
  <si>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</si>
  <si>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</si>
  <si>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</si>
  <si>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</si>
  <si>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</si>
  <si>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</si>
  <si>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</si>
  <si>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</si>
  <si>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</si>
  <si>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</si>
  <si>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</si>
  <si>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</si>
  <si>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</si>
  <si>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</si>
  <si>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</si>
  <si>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</si>
  <si>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</si>
  <si>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</si>
  <si>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</si>
  <si>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</si>
  <si>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</si>
  <si>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</si>
  <si>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</si>
  <si>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</si>
  <si>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</si>
  <si>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</si>
  <si>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</si>
  <si>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</si>
  <si>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</si>
  <si>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</si>
  <si>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</si>
  <si>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</si>
  <si>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</si>
  <si>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</si>
  <si>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</si>
  <si>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</si>
  <si>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</si>
  <si>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</si>
  <si>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</si>
  <si>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</si>
  <si>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</si>
  <si>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</si>
  <si>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</si>
  <si>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</si>
  <si>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</si>
  <si>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</si>
  <si>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</si>
  <si>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</si>
  <si>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</si>
  <si>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</si>
  <si>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</si>
  <si>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</si>
  <si>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</si>
  <si>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</si>
  <si>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</si>
  <si>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</si>
  <si>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</si>
  <si>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</si>
  <si>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</si>
  <si>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</si>
  <si>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</si>
  <si>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</si>
  <si>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</si>
  <si>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</si>
  <si>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</si>
  <si>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</si>
  <si>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</si>
  <si>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</si>
  <si>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</si>
  <si>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</si>
  <si>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</si>
  <si>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</si>
  <si>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</si>
  <si>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</si>
  <si>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</si>
  <si>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</si>
  <si>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</si>
  <si>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</si>
  <si>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</si>
  <si>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</si>
  <si>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</si>
  <si>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</si>
  <si>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</si>
  <si>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</si>
  <si>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</si>
  <si>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</si>
  <si>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</si>
  <si>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</si>
  <si>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</si>
  <si>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</si>
  <si>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</si>
  <si>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</si>
  <si>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</si>
  <si>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</si>
  <si>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</si>
  <si>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</si>
  <si>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</si>
  <si>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</si>
  <si>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</si>
  <si>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</si>
  <si>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</si>
  <si>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</si>
  <si>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</si>
  <si>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</si>
  <si>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</si>
  <si>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</si>
  <si>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</si>
  <si>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</si>
  <si>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</si>
  <si>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</si>
  <si>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</si>
  <si>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</si>
  <si>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</si>
  <si>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</si>
  <si>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</si>
  <si>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</si>
  <si>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</si>
  <si>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</si>
  <si>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</si>
  <si>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</si>
  <si>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</si>
  <si>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</si>
  <si>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</si>
  <si>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</si>
  <si>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</si>
  <si>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</si>
  <si>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</si>
  <si>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</si>
  <si>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</si>
  <si>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</si>
  <si>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</si>
  <si>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</si>
  <si>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</si>
  <si>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</si>
  <si>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</si>
  <si>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</si>
  <si>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</si>
  <si>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</si>
  <si>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</si>
  <si>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</si>
  <si>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</si>
  <si>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</si>
  <si>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</si>
  <si>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</si>
  <si>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</si>
  <si>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</si>
  <si>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</si>
  <si>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</si>
  <si>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</si>
  <si>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</si>
  <si>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</si>
  <si>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</si>
  <si>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</si>
  <si>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</si>
  <si>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</si>
  <si>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</si>
  <si>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</si>
  <si>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</si>
  <si>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</si>
  <si>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</si>
  <si>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</si>
  <si>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</si>
  <si>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</si>
  <si>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</si>
  <si>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</si>
  <si>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</si>
  <si>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</si>
  <si>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</si>
  <si>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</si>
  <si>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</si>
  <si>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</si>
  <si>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</si>
  <si>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</si>
  <si>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</si>
  <si>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</si>
  <si>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</si>
  <si>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</si>
  <si>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</si>
  <si>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</si>
  <si>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</si>
  <si>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</si>
  <si>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</si>
  <si>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</si>
  <si>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</si>
  <si>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</si>
  <si>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</si>
  <si>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</si>
  <si>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</si>
  <si>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</si>
  <si>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</si>
  <si>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</si>
  <si>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</si>
  <si>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</si>
  <si>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</si>
  <si>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</si>
  <si>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</si>
  <si>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</si>
  <si>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</si>
  <si>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</si>
  <si>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</si>
  <si>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</si>
  <si>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</si>
  <si>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</si>
  <si>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</si>
  <si>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</si>
  <si>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</si>
  <si>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</si>
  <si>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</si>
  <si>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</si>
  <si>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</si>
  <si>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</si>
  <si>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</si>
  <si>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</si>
  <si>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</si>
  <si>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</si>
  <si>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</si>
  <si>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</si>
  <si>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</si>
  <si>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</si>
  <si>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</si>
  <si>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</si>
  <si>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</si>
  <si>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</si>
  <si>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</si>
  <si>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</si>
  <si>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</si>
  <si>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</si>
  <si>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</si>
  <si>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</si>
  <si>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</si>
  <si>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</si>
  <si>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</si>
  <si>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</si>
  <si>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</si>
  <si>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</si>
  <si>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</si>
  <si>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</si>
  <si>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</si>
  <si>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</si>
  <si>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</si>
  <si>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</si>
  <si>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</si>
  <si>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</si>
  <si>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</si>
  <si>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</si>
  <si>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</si>
  <si>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</si>
  <si>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</si>
  <si>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</si>
  <si>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</si>
  <si>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</si>
  <si>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</si>
  <si>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</si>
  <si>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</si>
  <si>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</si>
  <si>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</si>
  <si>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</si>
  <si>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</si>
  <si>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</si>
  <si>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</si>
  <si>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</si>
  <si>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</si>
  <si>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</si>
  <si>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</si>
  <si>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</si>
  <si>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Attrition Rate</t>
  </si>
  <si>
    <t>Average of Job Satisfaction</t>
  </si>
  <si>
    <t>Rating</t>
  </si>
  <si>
    <t>Balance Rating</t>
  </si>
  <si>
    <t>Row Labels</t>
  </si>
  <si>
    <t>Grand Total</t>
  </si>
  <si>
    <t>Count of Employee Count</t>
  </si>
  <si>
    <t>Job Roles</t>
  </si>
  <si>
    <t>Count of Attrition</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</si>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</sst>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Aptos Narrow"/>
      <family val="2"/>
      <scheme val="minor"/>
    </font>
    <font>
      <sz val="11"/>
      <color theme="1"/>
      <name val="Aptos Narrow"/>
      <family val="2"/>
      <scheme val="minor"/>
    </font>
    <font>
      <sz val="12"/>
      <color theme="1"/>
      <name val="Aptos Narrow"/>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0" xfId="0" applyFont="1"/>
    <xf numFmtId="10" fontId="0" fillId="0" borderId="0" xfId="1" applyNumberFormat="1" applyFont="1"/>
    <xf numFmtId="1" fontId="0" fillId="0" borderId="0" xfId="0" applyNumberFormat="1"/>
    <xf numFmtId="0" fontId="0" fillId="2" borderId="0" xfId="0" applyFill="1"/>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0" applyNumberFormat="1"/>
    <xf numFmtId="0" fontId="0" fillId="0" borderId="0" xfId="0" applyNumberFormat="1"/>
  </cellXfs>
  <cellStyles count="2">
    <cellStyle name="Normal" xfId="0" builtinId="0"/>
    <cellStyle name="Percent" xfId="1" builtinId="5"/>
  </cellStyles>
  <dxfs count="3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bgColor theme="5" tint="0.39994506668294322"/>
        </patternFill>
      </fill>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E60B700C-1A69-43DE-85D0-0E3179F9309F}">
      <tableStyleElement type="headerRow" dxfId="38"/>
      <tableStyleElement type="firstRowStripe" dxfId="37"/>
      <tableStyleElement type="secondRowStripe" dxfId="36"/>
    </tableStyle>
    <tableStyle name="Slicer Style 1" pivot="0" table="0" count="4" xr9:uid="{9ED4E3EC-E8A5-446E-8EA3-04E356B30BEC}">
      <tableStyleElement type="wholeTable" dxfId="34"/>
    </tableStyle>
  </tableStyles>
  <colors>
    <mruColors>
      <color rgb="FF792171"/>
      <color rgb="FFF3AF8D"/>
      <color rgb="FF828D17"/>
      <color rgb="FFEF9467"/>
      <color rgb="FFEB7B43"/>
      <color rgb="FF085776"/>
      <color rgb="FF961E51"/>
      <color rgb="FF002776"/>
      <color rgb="FFD52F76"/>
      <color rgb="FFEE9264"/>
    </mruColors>
  </colors>
  <extLst>
    <ext xmlns:x14="http://schemas.microsoft.com/office/spreadsheetml/2009/9/main" uri="{46F421CA-312F-682f-3DD2-61675219B42D}">
      <x14:dxfs count="3">
        <dxf>
          <fill>
            <gradientFill>
              <stop position="0">
                <color theme="1" tint="0.25098422193060094"/>
              </stop>
              <stop position="1">
                <color theme="0" tint="-0.49803155613879818"/>
              </stop>
            </gradientFill>
          </fill>
        </dxf>
        <dxf>
          <font>
            <b/>
            <i val="0"/>
            <color theme="0"/>
            <name val="Calibri"/>
            <family val="2"/>
            <scheme val="none"/>
          </font>
          <fill>
            <gradientFill>
              <stop position="0">
                <color theme="9" tint="-0.25098422193060094"/>
              </stop>
              <stop position="1">
                <color theme="9" tint="0.40000610370189521"/>
              </stop>
            </gradientFill>
          </fill>
        </dxf>
        <dxf>
          <fill>
            <gradientFill>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737143211843451"/>
          <c:y val="0.1038961038961039"/>
          <c:w val="0.44525598627045954"/>
          <c:h val="0.79220779220779225"/>
        </c:manualLayout>
      </c:layout>
      <c:doughnutChart>
        <c:varyColors val="1"/>
        <c:ser>
          <c:idx val="0"/>
          <c:order val="0"/>
          <c:spPr>
            <a:ln>
              <a:solidFill>
                <a:srgbClr val="EE9264"/>
              </a:solidFill>
            </a:ln>
          </c:spPr>
          <c:dPt>
            <c:idx val="0"/>
            <c:bubble3D val="0"/>
            <c:spPr>
              <a:gradFill>
                <a:gsLst>
                  <a:gs pos="0">
                    <a:srgbClr val="0036A2"/>
                  </a:gs>
                  <a:gs pos="100000">
                    <a:schemeClr val="accent6">
                      <a:lumMod val="50000"/>
                    </a:schemeClr>
                  </a:gs>
                </a:gsLst>
                <a:lin ang="5400000" scaled="1"/>
              </a:gradFill>
              <a:ln w="19050">
                <a:solidFill>
                  <a:srgbClr val="EE9264"/>
                </a:solidFill>
              </a:ln>
              <a:effectLst/>
            </c:spPr>
            <c:extLst>
              <c:ext xmlns:c16="http://schemas.microsoft.com/office/drawing/2014/chart" uri="{C3380CC4-5D6E-409C-BE32-E72D297353CC}">
                <c16:uniqueId val="{00000001-A26C-4E50-B9E1-6DC2911EBF7B}"/>
              </c:ext>
            </c:extLst>
          </c:dPt>
          <c:dPt>
            <c:idx val="1"/>
            <c:bubble3D val="0"/>
            <c:spPr>
              <a:solidFill>
                <a:schemeClr val="bg1">
                  <a:alpha val="95000"/>
                </a:schemeClr>
              </a:solidFill>
              <a:ln w="19050">
                <a:solidFill>
                  <a:srgbClr val="EE9264"/>
                </a:solidFill>
              </a:ln>
              <a:effectLst/>
            </c:spPr>
            <c:extLst>
              <c:ext xmlns:c16="http://schemas.microsoft.com/office/drawing/2014/chart" uri="{C3380CC4-5D6E-409C-BE32-E72D297353CC}">
                <c16:uniqueId val="{00000003-A26C-4E50-B9E1-6DC2911EBF7B}"/>
              </c:ext>
            </c:extLst>
          </c:dPt>
          <c:val>
            <c:numRef>
              <c:f>Rating!$C$6:$C$7</c:f>
              <c:numCache>
                <c:formatCode>General</c:formatCode>
                <c:ptCount val="2"/>
                <c:pt idx="0">
                  <c:v>0.64668367346938771</c:v>
                </c:pt>
                <c:pt idx="1">
                  <c:v>0.35331632653061229</c:v>
                </c:pt>
              </c:numCache>
            </c:numRef>
          </c:val>
          <c:extLst>
            <c:ext xmlns:c16="http://schemas.microsoft.com/office/drawing/2014/chart" uri="{C3380CC4-5D6E-409C-BE32-E72D297353CC}">
              <c16:uniqueId val="{00000004-A26C-4E50-B9E1-6DC2911EBF7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750378265203967E-2"/>
          <c:y val="0"/>
          <c:w val="0.90330143709614763"/>
          <c:h val="1"/>
        </c:manualLayout>
      </c:layout>
      <c:barChart>
        <c:barDir val="bar"/>
        <c:grouping val="clustered"/>
        <c:varyColors val="0"/>
        <c:ser>
          <c:idx val="0"/>
          <c:order val="0"/>
          <c:spPr>
            <a:solidFill>
              <a:srgbClr val="5E260A"/>
            </a:solidFill>
            <a:ln>
              <a:noFill/>
            </a:ln>
            <a:effectLst/>
          </c:spPr>
          <c:invertIfNegative val="0"/>
          <c:val>
            <c:numRef>
              <c:f>Rating!$B$6</c:f>
              <c:numCache>
                <c:formatCode>0.0</c:formatCode>
                <c:ptCount val="1"/>
                <c:pt idx="0">
                  <c:v>2.5867346938775508</c:v>
                </c:pt>
              </c:numCache>
            </c:numRef>
          </c:val>
          <c:extLst>
            <c:ext xmlns:c16="http://schemas.microsoft.com/office/drawing/2014/chart" uri="{C3380CC4-5D6E-409C-BE32-E72D297353CC}">
              <c16:uniqueId val="{00000000-680C-4D53-8645-DEBF9C56AF8C}"/>
            </c:ext>
          </c:extLst>
        </c:ser>
        <c:ser>
          <c:idx val="1"/>
          <c:order val="1"/>
          <c:spPr>
            <a:solidFill>
              <a:srgbClr val="EE9264"/>
            </a:solidFill>
            <a:ln>
              <a:noFill/>
            </a:ln>
            <a:effectLst/>
          </c:spPr>
          <c:invertIfNegative val="0"/>
          <c:val>
            <c:numRef>
              <c:f>Rating!$B$7</c:f>
              <c:numCache>
                <c:formatCode>0.0</c:formatCode>
                <c:ptCount val="1"/>
                <c:pt idx="0">
                  <c:v>1.4132653061224492</c:v>
                </c:pt>
              </c:numCache>
            </c:numRef>
          </c:val>
          <c:extLst>
            <c:ext xmlns:c16="http://schemas.microsoft.com/office/drawing/2014/chart" uri="{C3380CC4-5D6E-409C-BE32-E72D297353CC}">
              <c16:uniqueId val="{00000001-680C-4D53-8645-DEBF9C56AF8C}"/>
            </c:ext>
          </c:extLst>
        </c:ser>
        <c:dLbls>
          <c:showLegendKey val="0"/>
          <c:showVal val="0"/>
          <c:showCatName val="0"/>
          <c:showSerName val="0"/>
          <c:showPercent val="0"/>
          <c:showBubbleSize val="0"/>
        </c:dLbls>
        <c:gapWidth val="0"/>
        <c:axId val="1478691855"/>
        <c:axId val="1478690415"/>
      </c:barChart>
      <c:catAx>
        <c:axId val="1478691855"/>
        <c:scaling>
          <c:orientation val="minMax"/>
        </c:scaling>
        <c:delete val="1"/>
        <c:axPos val="l"/>
        <c:majorTickMark val="out"/>
        <c:minorTickMark val="none"/>
        <c:tickLblPos val="nextTo"/>
        <c:crossAx val="1478690415"/>
        <c:crosses val="autoZero"/>
        <c:auto val="1"/>
        <c:lblAlgn val="ctr"/>
        <c:lblOffset val="100"/>
        <c:noMultiLvlLbl val="0"/>
      </c:catAx>
      <c:valAx>
        <c:axId val="1478690415"/>
        <c:scaling>
          <c:orientation val="minMax"/>
          <c:max val="4"/>
        </c:scaling>
        <c:delete val="1"/>
        <c:axPos val="b"/>
        <c:numFmt formatCode="0.0" sourceLinked="1"/>
        <c:majorTickMark val="out"/>
        <c:minorTickMark val="none"/>
        <c:tickLblPos val="nextTo"/>
        <c:crossAx val="147869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01879071143798"/>
          <c:y val="0.13091433872796618"/>
          <c:w val="0.55242670018436202"/>
          <c:h val="0.77744562416245744"/>
        </c:manualLayout>
      </c:layout>
      <c:doughnutChart>
        <c:varyColors val="1"/>
        <c:ser>
          <c:idx val="0"/>
          <c:order val="0"/>
          <c:spPr>
            <a:ln>
              <a:noFill/>
            </a:ln>
          </c:spPr>
          <c:dPt>
            <c:idx val="0"/>
            <c:bubble3D val="0"/>
            <c:spPr>
              <a:gradFill>
                <a:gsLst>
                  <a:gs pos="0">
                    <a:srgbClr val="961E51"/>
                  </a:gs>
                  <a:gs pos="100000">
                    <a:srgbClr val="002776"/>
                  </a:gs>
                </a:gsLst>
                <a:lin ang="10800000" scaled="0"/>
              </a:gradFill>
              <a:ln w="19050">
                <a:noFill/>
              </a:ln>
              <a:effectLst/>
            </c:spPr>
            <c:extLst>
              <c:ext xmlns:c16="http://schemas.microsoft.com/office/drawing/2014/chart" uri="{C3380CC4-5D6E-409C-BE32-E72D297353CC}">
                <c16:uniqueId val="{00000001-81AF-469D-939C-4D50DB004087}"/>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81AF-469D-939C-4D50DB004087}"/>
              </c:ext>
            </c:extLst>
          </c:dPt>
          <c:val>
            <c:numRef>
              <c:f>Gender!$C$9:$C$10</c:f>
              <c:numCache>
                <c:formatCode>0%</c:formatCode>
                <c:ptCount val="2"/>
                <c:pt idx="0">
                  <c:v>1</c:v>
                </c:pt>
                <c:pt idx="1">
                  <c:v>0</c:v>
                </c:pt>
              </c:numCache>
            </c:numRef>
          </c:val>
          <c:extLst>
            <c:ext xmlns:c16="http://schemas.microsoft.com/office/drawing/2014/chart" uri="{C3380CC4-5D6E-409C-BE32-E72D297353CC}">
              <c16:uniqueId val="{00000004-81AF-469D-939C-4D50DB00408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989189729226764"/>
          <c:y val="0.14193548387096774"/>
          <c:w val="0.59677469881864265"/>
          <c:h val="0.71612903225806457"/>
        </c:manualLayout>
      </c:layout>
      <c:doughnutChart>
        <c:varyColors val="1"/>
        <c:ser>
          <c:idx val="0"/>
          <c:order val="0"/>
          <c:spPr>
            <a:ln>
              <a:noFill/>
            </a:ln>
          </c:spPr>
          <c:dPt>
            <c:idx val="0"/>
            <c:bubble3D val="0"/>
            <c:spPr>
              <a:solidFill>
                <a:schemeClr val="bg1">
                  <a:lumMod val="65000"/>
                </a:schemeClr>
              </a:solidFill>
              <a:ln w="19050">
                <a:noFill/>
              </a:ln>
              <a:effectLst/>
            </c:spPr>
            <c:extLst>
              <c:ext xmlns:c16="http://schemas.microsoft.com/office/drawing/2014/chart" uri="{C3380CC4-5D6E-409C-BE32-E72D297353CC}">
                <c16:uniqueId val="{00000001-4085-438A-AB04-72AE29B19292}"/>
              </c:ext>
            </c:extLst>
          </c:dPt>
          <c:dPt>
            <c:idx val="1"/>
            <c:bubble3D val="0"/>
            <c:spPr>
              <a:gradFill>
                <a:gsLst>
                  <a:gs pos="0">
                    <a:srgbClr val="085776"/>
                  </a:gs>
                  <a:gs pos="100000">
                    <a:srgbClr val="002776"/>
                  </a:gs>
                </a:gsLst>
                <a:lin ang="10800000" scaled="0"/>
              </a:gradFill>
              <a:ln w="19050">
                <a:noFill/>
              </a:ln>
              <a:effectLst/>
            </c:spPr>
            <c:extLst>
              <c:ext xmlns:c16="http://schemas.microsoft.com/office/drawing/2014/chart" uri="{C3380CC4-5D6E-409C-BE32-E72D297353CC}">
                <c16:uniqueId val="{00000003-4085-438A-AB04-72AE29B19292}"/>
              </c:ext>
            </c:extLst>
          </c:dPt>
          <c:val>
            <c:numRef>
              <c:f>Gender!$C$9:$C$10</c:f>
              <c:numCache>
                <c:formatCode>0%</c:formatCode>
                <c:ptCount val="2"/>
                <c:pt idx="0">
                  <c:v>1</c:v>
                </c:pt>
                <c:pt idx="1">
                  <c:v>0</c:v>
                </c:pt>
              </c:numCache>
            </c:numRef>
          </c:val>
          <c:extLst>
            <c:ext xmlns:c16="http://schemas.microsoft.com/office/drawing/2014/chart" uri="{C3380CC4-5D6E-409C-BE32-E72D297353CC}">
              <c16:uniqueId val="{00000004-4085-438A-AB04-72AE29B1929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Analysis.xlsx]Education by Attrition!Eduction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60000"/>
                  <a:lumOff val="4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60000"/>
                    <a:lumOff val="4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Master's Degree</c:v>
                </c:pt>
                <c:pt idx="3">
                  <c:v>Associates Degree</c:v>
                </c:pt>
                <c:pt idx="4">
                  <c:v>Bachelor's Degree</c:v>
                </c:pt>
              </c:strCache>
            </c:strRef>
          </c:cat>
          <c:val>
            <c:numRef>
              <c:f>'Education by Attrition'!$B$4:$B$9</c:f>
              <c:numCache>
                <c:formatCode>General</c:formatCode>
                <c:ptCount val="5"/>
                <c:pt idx="0">
                  <c:v>3</c:v>
                </c:pt>
                <c:pt idx="1">
                  <c:v>11</c:v>
                </c:pt>
                <c:pt idx="2">
                  <c:v>16</c:v>
                </c:pt>
                <c:pt idx="3">
                  <c:v>19</c:v>
                </c:pt>
                <c:pt idx="4">
                  <c:v>38</c:v>
                </c:pt>
              </c:numCache>
            </c:numRef>
          </c:val>
          <c:extLst>
            <c:ext xmlns:c16="http://schemas.microsoft.com/office/drawing/2014/chart" uri="{C3380CC4-5D6E-409C-BE32-E72D297353CC}">
              <c16:uniqueId val="{00000000-E8E5-46E3-977B-2C062DBF1C53}"/>
            </c:ext>
          </c:extLst>
        </c:ser>
        <c:dLbls>
          <c:dLblPos val="outEnd"/>
          <c:showLegendKey val="0"/>
          <c:showVal val="1"/>
          <c:showCatName val="0"/>
          <c:showSerName val="0"/>
          <c:showPercent val="0"/>
          <c:showBubbleSize val="0"/>
        </c:dLbls>
        <c:gapWidth val="75"/>
        <c:axId val="639314336"/>
        <c:axId val="639316256"/>
      </c:barChart>
      <c:catAx>
        <c:axId val="6393143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85000"/>
                    <a:lumOff val="15000"/>
                  </a:schemeClr>
                </a:solidFill>
                <a:latin typeface="Calibri" panose="020F0502020204030204" pitchFamily="34" charset="0"/>
                <a:ea typeface="+mn-ea"/>
                <a:cs typeface="Calibri" panose="020F0502020204030204" pitchFamily="34" charset="0"/>
              </a:defRPr>
            </a:pPr>
            <a:endParaRPr lang="en-US"/>
          </a:p>
        </c:txPr>
        <c:crossAx val="639316256"/>
        <c:crosses val="autoZero"/>
        <c:auto val="1"/>
        <c:lblAlgn val="ctr"/>
        <c:lblOffset val="100"/>
        <c:noMultiLvlLbl val="0"/>
      </c:catAx>
      <c:valAx>
        <c:axId val="639316256"/>
        <c:scaling>
          <c:orientation val="minMax"/>
        </c:scaling>
        <c:delete val="1"/>
        <c:axPos val="b"/>
        <c:numFmt formatCode="General" sourceLinked="1"/>
        <c:majorTickMark val="out"/>
        <c:minorTickMark val="none"/>
        <c:tickLblPos val="nextTo"/>
        <c:crossAx val="6393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946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Analysis.xlsx]Dept wise Attrition!Dept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rgbClr val="F3AF8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rgbClr val="F3AF8D"/>
            </a:solidFill>
          </a:ln>
          <a:effectLst/>
        </c:spPr>
      </c:pivotFmt>
      <c:pivotFmt>
        <c:idx val="7"/>
        <c:spPr>
          <a:solidFill>
            <a:schemeClr val="accent1"/>
          </a:solidFill>
          <a:ln w="19050">
            <a:solidFill>
              <a:srgbClr val="F3AF8D"/>
            </a:solidFill>
          </a:ln>
          <a:effectLst/>
        </c:spPr>
      </c:pivotFmt>
      <c:pivotFmt>
        <c:idx val="8"/>
        <c:spPr>
          <a:solidFill>
            <a:schemeClr val="accent1"/>
          </a:solidFill>
          <a:ln w="19050">
            <a:solidFill>
              <a:srgbClr val="F3AF8D"/>
            </a:solidFill>
          </a:ln>
          <a:effectLst/>
        </c:spPr>
      </c:pivotFmt>
    </c:pivotFmts>
    <c:plotArea>
      <c:layout>
        <c:manualLayout>
          <c:layoutTarget val="inner"/>
          <c:xMode val="edge"/>
          <c:yMode val="edge"/>
          <c:x val="0.15629228638086906"/>
          <c:y val="9.0909031750483663E-2"/>
          <c:w val="0.45833369787109945"/>
          <c:h val="0.8181819364990327"/>
        </c:manualLayout>
      </c:layout>
      <c:pieChart>
        <c:varyColors val="1"/>
        <c:ser>
          <c:idx val="0"/>
          <c:order val="0"/>
          <c:tx>
            <c:strRef>
              <c:f>'Dept wise Attrition'!$B$3</c:f>
              <c:strCache>
                <c:ptCount val="1"/>
                <c:pt idx="0">
                  <c:v>Total</c:v>
                </c:pt>
              </c:strCache>
            </c:strRef>
          </c:tx>
          <c:spPr>
            <a:ln>
              <a:solidFill>
                <a:srgbClr val="F3AF8D"/>
              </a:solidFill>
            </a:ln>
          </c:spPr>
          <c:dPt>
            <c:idx val="0"/>
            <c:bubble3D val="0"/>
            <c:spPr>
              <a:solidFill>
                <a:schemeClr val="accent1"/>
              </a:solidFill>
              <a:ln w="19050">
                <a:solidFill>
                  <a:srgbClr val="F3AF8D"/>
                </a:solidFill>
              </a:ln>
              <a:effectLst/>
            </c:spPr>
            <c:extLst>
              <c:ext xmlns:c16="http://schemas.microsoft.com/office/drawing/2014/chart" uri="{C3380CC4-5D6E-409C-BE32-E72D297353CC}">
                <c16:uniqueId val="{00000001-73BC-4570-B130-F10DF16F8587}"/>
              </c:ext>
            </c:extLst>
          </c:dPt>
          <c:dPt>
            <c:idx val="1"/>
            <c:bubble3D val="0"/>
            <c:spPr>
              <a:solidFill>
                <a:schemeClr val="accent2"/>
              </a:solidFill>
              <a:ln w="19050">
                <a:solidFill>
                  <a:srgbClr val="F3AF8D"/>
                </a:solidFill>
              </a:ln>
              <a:effectLst/>
            </c:spPr>
            <c:extLst>
              <c:ext xmlns:c16="http://schemas.microsoft.com/office/drawing/2014/chart" uri="{C3380CC4-5D6E-409C-BE32-E72D297353CC}">
                <c16:uniqueId val="{00000003-73BC-4570-B130-F10DF16F8587}"/>
              </c:ext>
            </c:extLst>
          </c:dPt>
          <c:dPt>
            <c:idx val="2"/>
            <c:bubble3D val="0"/>
            <c:spPr>
              <a:solidFill>
                <a:schemeClr val="accent3"/>
              </a:solidFill>
              <a:ln w="19050">
                <a:solidFill>
                  <a:srgbClr val="F3AF8D"/>
                </a:solidFill>
              </a:ln>
              <a:effectLst/>
            </c:spPr>
            <c:extLst>
              <c:ext xmlns:c16="http://schemas.microsoft.com/office/drawing/2014/chart" uri="{C3380CC4-5D6E-409C-BE32-E72D297353CC}">
                <c16:uniqueId val="{00000005-73BC-4570-B130-F10DF16F8587}"/>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6.8965517241379309E-2</c:v>
                </c:pt>
                <c:pt idx="1">
                  <c:v>0.4942528735632184</c:v>
                </c:pt>
                <c:pt idx="2">
                  <c:v>0.43678160919540232</c:v>
                </c:pt>
              </c:numCache>
            </c:numRef>
          </c:val>
          <c:extLst>
            <c:ext xmlns:c16="http://schemas.microsoft.com/office/drawing/2014/chart" uri="{C3380CC4-5D6E-409C-BE32-E72D297353CC}">
              <c16:uniqueId val="{00000006-73BC-4570-B130-F10DF16F858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Analysis.xlsx]Attrition by Age Group!Attrition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0000"/>
              </a:gs>
              <a:gs pos="100000">
                <a:schemeClr val="accent2">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rgbClr val="FF0000"/>
                </a:gs>
                <a:gs pos="100000">
                  <a:schemeClr val="accent2">
                    <a:lumMod val="7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Under 25</c:v>
                </c:pt>
                <c:pt idx="2">
                  <c:v>35 - 44</c:v>
                </c:pt>
                <c:pt idx="3">
                  <c:v>45 - 54</c:v>
                </c:pt>
                <c:pt idx="4">
                  <c:v>Over 55</c:v>
                </c:pt>
              </c:strCache>
            </c:strRef>
          </c:cat>
          <c:val>
            <c:numRef>
              <c:f>'Attrition by Age Group'!$B$4:$B$9</c:f>
              <c:numCache>
                <c:formatCode>General</c:formatCode>
                <c:ptCount val="5"/>
                <c:pt idx="0">
                  <c:v>43</c:v>
                </c:pt>
                <c:pt idx="1">
                  <c:v>18</c:v>
                </c:pt>
                <c:pt idx="2">
                  <c:v>14</c:v>
                </c:pt>
                <c:pt idx="3">
                  <c:v>9</c:v>
                </c:pt>
                <c:pt idx="4">
                  <c:v>3</c:v>
                </c:pt>
              </c:numCache>
            </c:numRef>
          </c:val>
          <c:extLst>
            <c:ext xmlns:c16="http://schemas.microsoft.com/office/drawing/2014/chart" uri="{C3380CC4-5D6E-409C-BE32-E72D297353CC}">
              <c16:uniqueId val="{00000000-704A-467E-A536-B0EA3C8C6DC4}"/>
            </c:ext>
          </c:extLst>
        </c:ser>
        <c:dLbls>
          <c:dLblPos val="outEnd"/>
          <c:showLegendKey val="0"/>
          <c:showVal val="1"/>
          <c:showCatName val="0"/>
          <c:showSerName val="0"/>
          <c:showPercent val="0"/>
          <c:showBubbleSize val="0"/>
        </c:dLbls>
        <c:gapWidth val="177"/>
        <c:overlap val="-27"/>
        <c:axId val="161368639"/>
        <c:axId val="161349919"/>
      </c:barChart>
      <c:catAx>
        <c:axId val="16136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349919"/>
        <c:crosses val="autoZero"/>
        <c:auto val="1"/>
        <c:lblAlgn val="ctr"/>
        <c:lblOffset val="100"/>
        <c:noMultiLvlLbl val="0"/>
      </c:catAx>
      <c:valAx>
        <c:axId val="161349919"/>
        <c:scaling>
          <c:orientation val="minMax"/>
        </c:scaling>
        <c:delete val="1"/>
        <c:axPos val="l"/>
        <c:numFmt formatCode="General" sourceLinked="1"/>
        <c:majorTickMark val="none"/>
        <c:minorTickMark val="none"/>
        <c:tickLblPos val="nextTo"/>
        <c:crossAx val="16136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AB-4DC3-9E83-B8FFE27AA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AB-4DC3-9E83-B8FFE27AA121}"/>
              </c:ext>
            </c:extLst>
          </c:dPt>
          <c:val>
            <c:numRef>
              <c:f>Rating!$C$6:$C$7</c:f>
              <c:numCache>
                <c:formatCode>General</c:formatCode>
                <c:ptCount val="2"/>
                <c:pt idx="0">
                  <c:v>0.64668367346938771</c:v>
                </c:pt>
                <c:pt idx="1">
                  <c:v>0.35331632653061229</c:v>
                </c:pt>
              </c:numCache>
            </c:numRef>
          </c:val>
          <c:extLst>
            <c:ext xmlns:c16="http://schemas.microsoft.com/office/drawing/2014/chart" uri="{C3380CC4-5D6E-409C-BE32-E72D297353CC}">
              <c16:uniqueId val="{00000000-E466-4342-989F-9F9B36F8BCE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914103786354057E-2"/>
          <c:y val="0.22"/>
          <c:w val="0.90330143709614763"/>
          <c:h val="0.56000000000000005"/>
        </c:manualLayout>
      </c:layout>
      <c:barChart>
        <c:barDir val="bar"/>
        <c:grouping val="clustered"/>
        <c:varyColors val="0"/>
        <c:ser>
          <c:idx val="0"/>
          <c:order val="0"/>
          <c:spPr>
            <a:solidFill>
              <a:schemeClr val="accent1"/>
            </a:solidFill>
            <a:ln>
              <a:noFill/>
            </a:ln>
            <a:effectLst/>
          </c:spPr>
          <c:invertIfNegative val="0"/>
          <c:val>
            <c:numRef>
              <c:f>Rating!$B$6</c:f>
              <c:numCache>
                <c:formatCode>0.0</c:formatCode>
                <c:ptCount val="1"/>
                <c:pt idx="0">
                  <c:v>2.5867346938775508</c:v>
                </c:pt>
              </c:numCache>
            </c:numRef>
          </c:val>
          <c:extLst>
            <c:ext xmlns:c16="http://schemas.microsoft.com/office/drawing/2014/chart" uri="{C3380CC4-5D6E-409C-BE32-E72D297353CC}">
              <c16:uniqueId val="{00000000-88FA-474F-8D1D-AB91C97DBBFE}"/>
            </c:ext>
          </c:extLst>
        </c:ser>
        <c:ser>
          <c:idx val="1"/>
          <c:order val="1"/>
          <c:spPr>
            <a:solidFill>
              <a:schemeClr val="accent2"/>
            </a:solidFill>
            <a:ln>
              <a:noFill/>
            </a:ln>
            <a:effectLst/>
          </c:spPr>
          <c:invertIfNegative val="0"/>
          <c:val>
            <c:numRef>
              <c:f>Rating!$B$7</c:f>
              <c:numCache>
                <c:formatCode>0.0</c:formatCode>
                <c:ptCount val="1"/>
                <c:pt idx="0">
                  <c:v>1.4132653061224492</c:v>
                </c:pt>
              </c:numCache>
            </c:numRef>
          </c:val>
          <c:extLst>
            <c:ext xmlns:c16="http://schemas.microsoft.com/office/drawing/2014/chart" uri="{C3380CC4-5D6E-409C-BE32-E72D297353CC}">
              <c16:uniqueId val="{00000009-88FA-474F-8D1D-AB91C97DBBFE}"/>
            </c:ext>
          </c:extLst>
        </c:ser>
        <c:dLbls>
          <c:showLegendKey val="0"/>
          <c:showVal val="0"/>
          <c:showCatName val="0"/>
          <c:showSerName val="0"/>
          <c:showPercent val="0"/>
          <c:showBubbleSize val="0"/>
        </c:dLbls>
        <c:gapWidth val="0"/>
        <c:axId val="1478691855"/>
        <c:axId val="1478690415"/>
      </c:barChart>
      <c:catAx>
        <c:axId val="1478691855"/>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690415"/>
        <c:crosses val="autoZero"/>
        <c:auto val="1"/>
        <c:lblAlgn val="ctr"/>
        <c:lblOffset val="100"/>
        <c:noMultiLvlLbl val="0"/>
      </c:catAx>
      <c:valAx>
        <c:axId val="1478690415"/>
        <c:scaling>
          <c:orientation val="minMax"/>
          <c:max val="4"/>
        </c:scaling>
        <c:delete val="1"/>
        <c:axPos val="b"/>
        <c:numFmt formatCode="0.0" sourceLinked="1"/>
        <c:majorTickMark val="out"/>
        <c:minorTickMark val="none"/>
        <c:tickLblPos val="nextTo"/>
        <c:crossAx val="147869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8E-4B18-9699-95B4DBB0CD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8E-4B18-9699-95B4DBB0CD33}"/>
              </c:ext>
            </c:extLst>
          </c:dPt>
          <c:val>
            <c:numRef>
              <c:f>Gender!$C$9:$C$10</c:f>
              <c:numCache>
                <c:formatCode>0%</c:formatCode>
                <c:ptCount val="2"/>
                <c:pt idx="0">
                  <c:v>1</c:v>
                </c:pt>
                <c:pt idx="1">
                  <c:v>0</c:v>
                </c:pt>
              </c:numCache>
            </c:numRef>
          </c:val>
          <c:extLst>
            <c:ext xmlns:c16="http://schemas.microsoft.com/office/drawing/2014/chart" uri="{C3380CC4-5D6E-409C-BE32-E72D297353CC}">
              <c16:uniqueId val="{00000000-76E9-4F8C-9627-70FFAF2CC16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Analysis.xlsx]Education by Attrition!Eduction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Master's Degree</c:v>
                </c:pt>
                <c:pt idx="3">
                  <c:v>Associates Degree</c:v>
                </c:pt>
                <c:pt idx="4">
                  <c:v>Bachelor's Degree</c:v>
                </c:pt>
              </c:strCache>
            </c:strRef>
          </c:cat>
          <c:val>
            <c:numRef>
              <c:f>'Education by Attrition'!$B$4:$B$9</c:f>
              <c:numCache>
                <c:formatCode>General</c:formatCode>
                <c:ptCount val="5"/>
                <c:pt idx="0">
                  <c:v>3</c:v>
                </c:pt>
                <c:pt idx="1">
                  <c:v>11</c:v>
                </c:pt>
                <c:pt idx="2">
                  <c:v>16</c:v>
                </c:pt>
                <c:pt idx="3">
                  <c:v>19</c:v>
                </c:pt>
                <c:pt idx="4">
                  <c:v>38</c:v>
                </c:pt>
              </c:numCache>
            </c:numRef>
          </c:val>
          <c:extLst>
            <c:ext xmlns:c16="http://schemas.microsoft.com/office/drawing/2014/chart" uri="{C3380CC4-5D6E-409C-BE32-E72D297353CC}">
              <c16:uniqueId val="{00000000-933E-4D09-89D4-1CD1D6C6E6CB}"/>
            </c:ext>
          </c:extLst>
        </c:ser>
        <c:dLbls>
          <c:dLblPos val="outEnd"/>
          <c:showLegendKey val="0"/>
          <c:showVal val="1"/>
          <c:showCatName val="0"/>
          <c:showSerName val="0"/>
          <c:showPercent val="0"/>
          <c:showBubbleSize val="0"/>
        </c:dLbls>
        <c:gapWidth val="182"/>
        <c:axId val="639314336"/>
        <c:axId val="639316256"/>
      </c:barChart>
      <c:catAx>
        <c:axId val="6393143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316256"/>
        <c:crosses val="autoZero"/>
        <c:auto val="1"/>
        <c:lblAlgn val="ctr"/>
        <c:lblOffset val="100"/>
        <c:noMultiLvlLbl val="0"/>
      </c:catAx>
      <c:valAx>
        <c:axId val="639316256"/>
        <c:scaling>
          <c:orientation val="minMax"/>
        </c:scaling>
        <c:delete val="1"/>
        <c:axPos val="b"/>
        <c:numFmt formatCode="General" sourceLinked="1"/>
        <c:majorTickMark val="out"/>
        <c:minorTickMark val="none"/>
        <c:tickLblPos val="nextTo"/>
        <c:crossAx val="6393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55-4108-B1E0-D9942EC728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55-4108-B1E0-D9942EC728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55-4108-B1E0-D9942EC72856}"/>
              </c:ext>
            </c:extLst>
          </c:dPt>
          <c:cat>
            <c:strRef>
              <c:f>'Dept wise Attrition'!$A$4:$A$7</c:f>
              <c:strCache>
                <c:ptCount val="3"/>
                <c:pt idx="0">
                  <c:v>HR</c:v>
                </c:pt>
                <c:pt idx="1">
                  <c:v>R&amp;D</c:v>
                </c:pt>
                <c:pt idx="2">
                  <c:v>Sales</c:v>
                </c:pt>
              </c:strCache>
            </c:strRef>
          </c:cat>
          <c:val>
            <c:numRef>
              <c:f>'Dept wise Attrition'!$B$4:$B$7</c:f>
              <c:numCache>
                <c:formatCode>0.00%</c:formatCode>
                <c:ptCount val="3"/>
                <c:pt idx="0">
                  <c:v>6.8965517241379309E-2</c:v>
                </c:pt>
                <c:pt idx="1">
                  <c:v>0.4942528735632184</c:v>
                </c:pt>
                <c:pt idx="2">
                  <c:v>0.43678160919540232</c:v>
                </c:pt>
              </c:numCache>
            </c:numRef>
          </c:val>
          <c:extLst>
            <c:ext xmlns:c16="http://schemas.microsoft.com/office/drawing/2014/chart" uri="{C3380CC4-5D6E-409C-BE32-E72D297353CC}">
              <c16:uniqueId val="{00000000-19D3-43D2-9723-1BB0C24360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Under 25</c:v>
                </c:pt>
                <c:pt idx="2">
                  <c:v>35 - 44</c:v>
                </c:pt>
                <c:pt idx="3">
                  <c:v>45 - 54</c:v>
                </c:pt>
                <c:pt idx="4">
                  <c:v>Over 55</c:v>
                </c:pt>
              </c:strCache>
            </c:strRef>
          </c:cat>
          <c:val>
            <c:numRef>
              <c:f>'Attrition by Age Group'!$B$4:$B$9</c:f>
              <c:numCache>
                <c:formatCode>General</c:formatCode>
                <c:ptCount val="5"/>
                <c:pt idx="0">
                  <c:v>43</c:v>
                </c:pt>
                <c:pt idx="1">
                  <c:v>18</c:v>
                </c:pt>
                <c:pt idx="2">
                  <c:v>14</c:v>
                </c:pt>
                <c:pt idx="3">
                  <c:v>9</c:v>
                </c:pt>
                <c:pt idx="4">
                  <c:v>3</c:v>
                </c:pt>
              </c:numCache>
            </c:numRef>
          </c:val>
          <c:extLst>
            <c:ext xmlns:c16="http://schemas.microsoft.com/office/drawing/2014/chart" uri="{C3380CC4-5D6E-409C-BE32-E72D297353CC}">
              <c16:uniqueId val="{00000000-02D8-4FB9-ADE8-65586D730772}"/>
            </c:ext>
          </c:extLst>
        </c:ser>
        <c:dLbls>
          <c:showLegendKey val="0"/>
          <c:showVal val="0"/>
          <c:showCatName val="0"/>
          <c:showSerName val="0"/>
          <c:showPercent val="0"/>
          <c:showBubbleSize val="0"/>
        </c:dLbls>
        <c:gapWidth val="219"/>
        <c:overlap val="-27"/>
        <c:axId val="161368639"/>
        <c:axId val="161349919"/>
      </c:barChart>
      <c:catAx>
        <c:axId val="16136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49919"/>
        <c:crosses val="autoZero"/>
        <c:auto val="1"/>
        <c:lblAlgn val="ctr"/>
        <c:lblOffset val="100"/>
        <c:noMultiLvlLbl val="0"/>
      </c:catAx>
      <c:valAx>
        <c:axId val="161349919"/>
        <c:scaling>
          <c:orientation val="minMax"/>
        </c:scaling>
        <c:delete val="1"/>
        <c:axPos val="l"/>
        <c:numFmt formatCode="General" sourceLinked="1"/>
        <c:majorTickMark val="none"/>
        <c:minorTickMark val="none"/>
        <c:tickLblPos val="nextTo"/>
        <c:crossAx val="16136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941217FB-63AB-4E43-B186-C635F1B4F482}">
          <cx:spPr>
            <a:ln>
              <a:solidFill>
                <a:schemeClr val="accent4">
                  <a:lumMod val="75000"/>
                </a:schemeClr>
              </a:solidFill>
            </a:ln>
          </cx:spPr>
          <cx:dataPt idx="2">
            <cx:spPr>
              <a:solidFill>
                <a:srgbClr val="FFC000">
                  <a:alpha val="50000"/>
                </a:srgbClr>
              </a:solidFill>
            </cx:spPr>
          </cx:dataPt>
          <cx:dataLabels pos="inEnd">
            <cx:txPr>
              <a:bodyPr spcFirstLastPara="1" vertOverflow="ellipsis" horzOverflow="overflow" wrap="square" lIns="0" tIns="0" rIns="0" bIns="0" anchor="ctr" anchorCtr="1"/>
              <a:lstStyle/>
              <a:p>
                <a:pPr algn="ctr" rtl="0">
                  <a:defRPr sz="800">
                    <a:latin typeface="Calibri" panose="020F0502020204030204" pitchFamily="34" charset="0"/>
                    <a:ea typeface="Calibri" panose="020F0502020204030204" pitchFamily="34" charset="0"/>
                    <a:cs typeface="Calibri" panose="020F0502020204030204" pitchFamily="34" charset="0"/>
                  </a:defRPr>
                </a:pPr>
                <a:endParaRPr lang="en-US" sz="800" b="0" i="0" u="none" strike="noStrike" baseline="0">
                  <a:solidFill>
                    <a:sysClr val="window" lastClr="FFFFFF"/>
                  </a:solidFill>
                  <a:latin typeface="Calibri" panose="020F0502020204030204" pitchFamily="34" charset="0"/>
                  <a:cs typeface="Calibri" panose="020F0502020204030204" pitchFamily="34" charset="0"/>
                </a:endParaRPr>
              </a:p>
            </cx:txPr>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58108940-C34C-40B4-B223-380FAFD2E61D}">
          <cx:spPr>
            <a:gradFill>
              <a:gsLst>
                <a:gs pos="0">
                  <a:schemeClr val="accent5"/>
                </a:gs>
                <a:gs pos="100000">
                  <a:schemeClr val="accent5">
                    <a:lumMod val="40000"/>
                    <a:lumOff val="60000"/>
                  </a:schemeClr>
                </a:gs>
              </a:gsLst>
              <a:lin ang="10800000" scaled="0"/>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ysClr val="windowText" lastClr="000000">
                  <a:lumMod val="65000"/>
                  <a:lumOff val="35000"/>
                </a:sysClr>
              </a:solidFill>
              <a:latin typeface="Calibri" panose="020F0502020204030204" pitchFamily="34" charset="0"/>
              <a:cs typeface="Calibri" panose="020F0502020204030204" pitchFamily="34" charset="0"/>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941217FB-63AB-4E43-B186-C635F1B4F482}">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58108940-C34C-40B4-B223-380FAFD2E61D}">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6</xdr:col>
      <xdr:colOff>584200</xdr:colOff>
      <xdr:row>2</xdr:row>
      <xdr:rowOff>120650</xdr:rowOff>
    </xdr:from>
    <xdr:to>
      <xdr:col>9</xdr:col>
      <xdr:colOff>584200</xdr:colOff>
      <xdr:row>8</xdr:row>
      <xdr:rowOff>88900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5A6FE04B-C0B0-5729-BD94-7A6886DA3EB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51700" y="488950"/>
              <a:ext cx="1828800" cy="1073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577850</xdr:colOff>
      <xdr:row>1</xdr:row>
      <xdr:rowOff>139701</xdr:rowOff>
    </xdr:from>
    <xdr:ext cx="10693399" cy="4495800"/>
    <xdr:grpSp>
      <xdr:nvGrpSpPr>
        <xdr:cNvPr id="2" name="Shape 2">
          <a:extLst>
            <a:ext uri="{FF2B5EF4-FFF2-40B4-BE49-F238E27FC236}">
              <a16:creationId xmlns:a16="http://schemas.microsoft.com/office/drawing/2014/main" id="{A5DF9C4F-38AD-403A-B9A5-29EAA8CFE74D}"/>
            </a:ext>
          </a:extLst>
        </xdr:cNvPr>
        <xdr:cNvGrpSpPr/>
      </xdr:nvGrpSpPr>
      <xdr:grpSpPr>
        <a:xfrm>
          <a:off x="577850" y="323851"/>
          <a:ext cx="10693399" cy="4495800"/>
          <a:chOff x="0" y="60488"/>
          <a:chExt cx="10692000" cy="7439025"/>
        </a:xfrm>
        <a:solidFill>
          <a:srgbClr val="EE9264"/>
        </a:solidFill>
      </xdr:grpSpPr>
      <xdr:grpSp>
        <xdr:nvGrpSpPr>
          <xdr:cNvPr id="3" name="Shape 29">
            <a:extLst>
              <a:ext uri="{FF2B5EF4-FFF2-40B4-BE49-F238E27FC236}">
                <a16:creationId xmlns:a16="http://schemas.microsoft.com/office/drawing/2014/main" id="{9F1B5242-4E19-3940-49A4-446C6EA9D0D4}"/>
              </a:ext>
            </a:extLst>
          </xdr:cNvPr>
          <xdr:cNvGrpSpPr/>
        </xdr:nvGrpSpPr>
        <xdr:grpSpPr>
          <a:xfrm>
            <a:off x="0" y="60488"/>
            <a:ext cx="10692000" cy="7439025"/>
            <a:chOff x="1752600" y="190500"/>
            <a:chExt cx="13468350" cy="7776000"/>
          </a:xfrm>
          <a:grpFill/>
        </xdr:grpSpPr>
        <xdr:sp macro="" textlink="">
          <xdr:nvSpPr>
            <xdr:cNvPr id="4" name="Shape 4">
              <a:extLst>
                <a:ext uri="{FF2B5EF4-FFF2-40B4-BE49-F238E27FC236}">
                  <a16:creationId xmlns:a16="http://schemas.microsoft.com/office/drawing/2014/main" id="{38C9D190-BE56-DF50-120B-F172DDD7A857}"/>
                </a:ext>
              </a:extLst>
            </xdr:cNvPr>
            <xdr:cNvSpPr/>
          </xdr:nvSpPr>
          <xdr:spPr>
            <a:xfrm>
              <a:off x="1752600" y="190500"/>
              <a:ext cx="13468350" cy="777600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933C15D6-CA71-85D9-97C0-8798EBDB021C}"/>
                </a:ext>
              </a:extLst>
            </xdr:cNvPr>
            <xdr:cNvSpPr/>
          </xdr:nvSpPr>
          <xdr:spPr>
            <a:xfrm>
              <a:off x="1752600" y="190500"/>
              <a:ext cx="13468350" cy="7776000"/>
            </a:xfrm>
            <a:prstGeom prst="roundRect">
              <a:avLst>
                <a:gd name="adj" fmla="val 1112"/>
              </a:avLst>
            </a:prstGeom>
            <a:grpFill/>
            <a:ln w="12700" cap="flat" cmpd="sng">
              <a:solidFill>
                <a:srgbClr val="00206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B5CD1840-2A3D-CCBC-830C-E2FDEB99DCD8}"/>
                </a:ext>
              </a:extLst>
            </xdr:cNvPr>
            <xdr:cNvSpPr/>
          </xdr:nvSpPr>
          <xdr:spPr>
            <a:xfrm>
              <a:off x="1852449" y="270899"/>
              <a:ext cx="7691601" cy="834001"/>
            </a:xfrm>
            <a:prstGeom prst="roundRect">
              <a:avLst>
                <a:gd name="adj" fmla="val 10000"/>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D320A8BE-C18E-3855-FB8E-DFC493AE6B10}"/>
                </a:ext>
              </a:extLst>
            </xdr:cNvPr>
            <xdr:cNvSpPr/>
          </xdr:nvSpPr>
          <xdr:spPr>
            <a:xfrm>
              <a:off x="9658349" y="270899"/>
              <a:ext cx="5467351" cy="834001"/>
            </a:xfrm>
            <a:prstGeom prst="roundRect">
              <a:avLst>
                <a:gd name="adj" fmla="val 10000"/>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88E49FEE-2FA8-A12E-AA50-0903DCE6B42F}"/>
                </a:ext>
              </a:extLst>
            </xdr:cNvPr>
            <xdr:cNvSpPr/>
          </xdr:nvSpPr>
          <xdr:spPr>
            <a:xfrm>
              <a:off x="5819774" y="2304895"/>
              <a:ext cx="4819651"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9B9511EF-0031-4F12-0E9C-C4A960427670}"/>
                </a:ext>
              </a:extLst>
            </xdr:cNvPr>
            <xdr:cNvGrpSpPr/>
          </xdr:nvGrpSpPr>
          <xdr:grpSpPr>
            <a:xfrm>
              <a:off x="1846116" y="1215714"/>
              <a:ext cx="13289109" cy="998848"/>
              <a:chOff x="1846116" y="1215714"/>
              <a:chExt cx="13403409" cy="998848"/>
            </a:xfrm>
            <a:grpFill/>
          </xdr:grpSpPr>
          <xdr:sp macro="" textlink="">
            <xdr:nvSpPr>
              <xdr:cNvPr id="24" name="Shape 35">
                <a:extLst>
                  <a:ext uri="{FF2B5EF4-FFF2-40B4-BE49-F238E27FC236}">
                    <a16:creationId xmlns:a16="http://schemas.microsoft.com/office/drawing/2014/main" id="{80CCFBCB-91CD-3BBE-B42B-C59502B57DED}"/>
                  </a:ext>
                </a:extLst>
              </xdr:cNvPr>
              <xdr:cNvSpPr/>
            </xdr:nvSpPr>
            <xdr:spPr>
              <a:xfrm>
                <a:off x="1846116"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2C1AE64F-211C-6AFF-16D1-EF8E18D6DC5B}"/>
                  </a:ext>
                </a:extLst>
              </xdr:cNvPr>
              <xdr:cNvSpPr/>
            </xdr:nvSpPr>
            <xdr:spPr>
              <a:xfrm>
                <a:off x="4546454"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542FD21A-496F-68BA-AEAD-FCD92D1FEE43}"/>
                  </a:ext>
                </a:extLst>
              </xdr:cNvPr>
              <xdr:cNvSpPr/>
            </xdr:nvSpPr>
            <xdr:spPr>
              <a:xfrm>
                <a:off x="7246792"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80B1F952-798F-47B1-DFA0-A59494509206}"/>
                  </a:ext>
                </a:extLst>
              </xdr:cNvPr>
              <xdr:cNvSpPr/>
            </xdr:nvSpPr>
            <xdr:spPr>
              <a:xfrm>
                <a:off x="9947130"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CC0C2949-4925-852B-4169-F5B01C1E8DED}"/>
                  </a:ext>
                </a:extLst>
              </xdr:cNvPr>
              <xdr:cNvSpPr/>
            </xdr:nvSpPr>
            <xdr:spPr>
              <a:xfrm>
                <a:off x="12647467"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4A5C318C-8A8C-2AE9-2E43-5CA1C9486208}"/>
                </a:ext>
              </a:extLst>
            </xdr:cNvPr>
            <xdr:cNvGrpSpPr/>
          </xdr:nvGrpSpPr>
          <xdr:grpSpPr>
            <a:xfrm>
              <a:off x="1847145" y="5162550"/>
              <a:ext cx="3867930" cy="2709509"/>
              <a:chOff x="1847145" y="2304895"/>
              <a:chExt cx="3867930" cy="2772878"/>
            </a:xfrm>
            <a:grpFill/>
          </xdr:grpSpPr>
          <xdr:sp macro="" textlink="">
            <xdr:nvSpPr>
              <xdr:cNvPr id="22" name="Shape 41">
                <a:extLst>
                  <a:ext uri="{FF2B5EF4-FFF2-40B4-BE49-F238E27FC236}">
                    <a16:creationId xmlns:a16="http://schemas.microsoft.com/office/drawing/2014/main" id="{C739BF70-2251-E822-8087-A8F9E9EF61DF}"/>
                  </a:ext>
                </a:extLst>
              </xdr:cNvPr>
              <xdr:cNvSpPr/>
            </xdr:nvSpPr>
            <xdr:spPr>
              <a:xfrm>
                <a:off x="1847145" y="2304895"/>
                <a:ext cx="3867930"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E52A841E-6CF0-B2DC-355D-78AEA815449C}"/>
                  </a:ext>
                </a:extLst>
              </xdr:cNvPr>
              <xdr:cNvCxnSpPr/>
            </xdr:nvCxnSpPr>
            <xdr:spPr>
              <a:xfrm rot="10800000" flipH="1">
                <a:off x="1963706" y="2678637"/>
                <a:ext cx="3608419" cy="5300"/>
              </a:xfrm>
              <a:prstGeom prst="straightConnector1">
                <a:avLst/>
              </a:prstGeom>
              <a:grp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7435A70C-1DBA-FE50-085B-ABF874577C63}"/>
                </a:ext>
              </a:extLst>
            </xdr:cNvPr>
            <xdr:cNvCxnSpPr/>
          </xdr:nvCxnSpPr>
          <xdr:spPr>
            <a:xfrm flipH="1">
              <a:off x="6021356" y="2667000"/>
              <a:ext cx="4464000" cy="2650"/>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7DD18719-4BBD-5C7D-479F-4A08A1DD641E}"/>
                </a:ext>
              </a:extLst>
            </xdr:cNvPr>
            <xdr:cNvSpPr/>
          </xdr:nvSpPr>
          <xdr:spPr>
            <a:xfrm>
              <a:off x="10744199" y="2304895"/>
              <a:ext cx="4381501"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48E671F1-9F20-DBD0-5EA3-3766CBB660D5}"/>
                </a:ext>
              </a:extLst>
            </xdr:cNvPr>
            <xdr:cNvCxnSpPr/>
          </xdr:nvCxnSpPr>
          <xdr:spPr>
            <a:xfrm rot="10800000" flipH="1">
              <a:off x="10917205" y="2678637"/>
              <a:ext cx="4068000" cy="5300"/>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7C3D4928-B356-7D65-7523-1858B74AB0C4}"/>
                </a:ext>
              </a:extLst>
            </xdr:cNvPr>
            <xdr:cNvSpPr/>
          </xdr:nvSpPr>
          <xdr:spPr>
            <a:xfrm>
              <a:off x="1847145" y="2314575"/>
              <a:ext cx="3867930" cy="275466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BFC8D34C-7183-ADD5-7ED0-0D344CEB5F27}"/>
                </a:ext>
              </a:extLst>
            </xdr:cNvPr>
            <xdr:cNvCxnSpPr/>
          </xdr:nvCxnSpPr>
          <xdr:spPr>
            <a:xfrm rot="10800000" flipH="1">
              <a:off x="1963706" y="2666813"/>
              <a:ext cx="3608419" cy="5265"/>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A04903F9-DAAE-B11D-0463-8A128D1A7B49}"/>
                </a:ext>
              </a:extLst>
            </xdr:cNvPr>
            <xdr:cNvSpPr/>
          </xdr:nvSpPr>
          <xdr:spPr>
            <a:xfrm>
              <a:off x="5809545" y="5162550"/>
              <a:ext cx="3564000" cy="2709509"/>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2C7A82F7-5D62-5E5B-DCB2-43F101543EFE}"/>
                </a:ext>
              </a:extLst>
            </xdr:cNvPr>
            <xdr:cNvCxnSpPr/>
          </xdr:nvCxnSpPr>
          <xdr:spPr>
            <a:xfrm rot="10800000" flipH="1">
              <a:off x="6009569" y="5524500"/>
              <a:ext cx="3096000" cy="5179"/>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F5A85F99-652E-008B-CD42-DDBAAD66D98B}"/>
                </a:ext>
              </a:extLst>
            </xdr:cNvPr>
            <xdr:cNvSpPr/>
          </xdr:nvSpPr>
          <xdr:spPr>
            <a:xfrm>
              <a:off x="9467145" y="5162550"/>
              <a:ext cx="2844000" cy="2700000"/>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7A5100C9-7C33-51FB-1B88-1A8B10826E95}"/>
                </a:ext>
              </a:extLst>
            </xdr:cNvPr>
            <xdr:cNvCxnSpPr/>
          </xdr:nvCxnSpPr>
          <xdr:spPr>
            <a:xfrm rot="10800000" flipH="1">
              <a:off x="9686219" y="5524500"/>
              <a:ext cx="2448000" cy="5179"/>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FB9D658D-5B39-2C22-3A72-0BEDC17656F5}"/>
                </a:ext>
              </a:extLst>
            </xdr:cNvPr>
            <xdr:cNvSpPr/>
          </xdr:nvSpPr>
          <xdr:spPr>
            <a:xfrm>
              <a:off x="12419895" y="5162550"/>
              <a:ext cx="2700000" cy="2700000"/>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A97ED4FD-4B65-B34C-4A90-E15B1ACFF6C1}"/>
                </a:ext>
              </a:extLst>
            </xdr:cNvPr>
            <xdr:cNvCxnSpPr/>
          </xdr:nvCxnSpPr>
          <xdr:spPr>
            <a:xfrm rot="10800000" flipH="1">
              <a:off x="12543719" y="5514975"/>
              <a:ext cx="2448000" cy="5179"/>
            </a:xfrm>
            <a:prstGeom prst="straightConnector1">
              <a:avLst/>
            </a:prstGeom>
            <a:grp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xdr:col>
      <xdr:colOff>101600</xdr:colOff>
      <xdr:row>4</xdr:row>
      <xdr:rowOff>107950</xdr:rowOff>
    </xdr:from>
    <xdr:to>
      <xdr:col>4</xdr:col>
      <xdr:colOff>0</xdr:colOff>
      <xdr:row>6</xdr:row>
      <xdr:rowOff>12700</xdr:rowOff>
    </xdr:to>
    <xdr:sp macro="" textlink="">
      <xdr:nvSpPr>
        <xdr:cNvPr id="29" name="TextBox 28">
          <a:extLst>
            <a:ext uri="{FF2B5EF4-FFF2-40B4-BE49-F238E27FC236}">
              <a16:creationId xmlns:a16="http://schemas.microsoft.com/office/drawing/2014/main" id="{5497C9CD-E4B4-363B-F030-430130B3D4AC}"/>
            </a:ext>
          </a:extLst>
        </xdr:cNvPr>
        <xdr:cNvSpPr txBox="1"/>
      </xdr:nvSpPr>
      <xdr:spPr>
        <a:xfrm>
          <a:off x="711200" y="844550"/>
          <a:ext cx="17272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chemeClr val="accent3">
                  <a:lumMod val="75000"/>
                </a:schemeClr>
              </a:solidFill>
              <a:latin typeface="Latha" panose="020B0502040204020203" pitchFamily="34" charset="0"/>
              <a:cs typeface="Latha" panose="020B0502040204020203" pitchFamily="34" charset="0"/>
            </a:rPr>
            <a:t>TOTAL</a:t>
          </a:r>
          <a:r>
            <a:rPr lang="en-IN" sz="1300" b="1" baseline="0">
              <a:solidFill>
                <a:schemeClr val="accent3">
                  <a:lumMod val="75000"/>
                </a:schemeClr>
              </a:solidFill>
              <a:latin typeface="Latha" panose="020B0502040204020203" pitchFamily="34" charset="0"/>
              <a:cs typeface="Latha" panose="020B0502040204020203" pitchFamily="34" charset="0"/>
            </a:rPr>
            <a:t> EMPLOYEE</a:t>
          </a:r>
          <a:endParaRPr lang="en-IN" sz="1300" b="1">
            <a:solidFill>
              <a:schemeClr val="accent3">
                <a:lumMod val="75000"/>
              </a:schemeClr>
            </a:solidFill>
            <a:latin typeface="Latha" panose="020B0502040204020203" pitchFamily="34" charset="0"/>
            <a:cs typeface="Latha" panose="020B0502040204020203" pitchFamily="34" charset="0"/>
          </a:endParaRPr>
        </a:p>
      </xdr:txBody>
    </xdr:sp>
    <xdr:clientData/>
  </xdr:twoCellAnchor>
  <xdr:twoCellAnchor>
    <xdr:from>
      <xdr:col>8</xdr:col>
      <xdr:colOff>355600</xdr:colOff>
      <xdr:row>6</xdr:row>
      <xdr:rowOff>38100</xdr:rowOff>
    </xdr:from>
    <xdr:to>
      <xdr:col>10</xdr:col>
      <xdr:colOff>381000</xdr:colOff>
      <xdr:row>7</xdr:row>
      <xdr:rowOff>120650</xdr:rowOff>
    </xdr:to>
    <xdr:sp macro="" textlink="KPI!$D$8">
      <xdr:nvSpPr>
        <xdr:cNvPr id="30" name="TextBox 29">
          <a:extLst>
            <a:ext uri="{FF2B5EF4-FFF2-40B4-BE49-F238E27FC236}">
              <a16:creationId xmlns:a16="http://schemas.microsoft.com/office/drawing/2014/main" id="{235F67A9-8A71-2E8E-F015-2688A40418C6}"/>
            </a:ext>
          </a:extLst>
        </xdr:cNvPr>
        <xdr:cNvSpPr txBox="1"/>
      </xdr:nvSpPr>
      <xdr:spPr>
        <a:xfrm>
          <a:off x="5232400" y="1143000"/>
          <a:ext cx="12446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17FE629-A188-495C-8DFD-CB06FA28562E}" type="TxLink">
            <a:rPr lang="en-US" sz="1500" b="1" i="0" u="none" strike="noStrike">
              <a:solidFill>
                <a:schemeClr val="accent1">
                  <a:lumMod val="50000"/>
                </a:schemeClr>
              </a:solidFill>
              <a:latin typeface="Latha" panose="020B0502040204020203" pitchFamily="34" charset="0"/>
              <a:ea typeface="+mn-ea"/>
              <a:cs typeface="Latha" panose="020B0502040204020203" pitchFamily="34" charset="0"/>
            </a:rPr>
            <a:pPr marL="0" indent="0" algn="ctr"/>
            <a:t>501</a:t>
          </a:fld>
          <a:endParaRPr lang="en-IN" sz="1500" b="1" i="0" u="none" strike="noStrike">
            <a:solidFill>
              <a:schemeClr val="accent1">
                <a:lumMod val="50000"/>
              </a:schemeClr>
            </a:solidFill>
            <a:latin typeface="Latha" panose="020B0502040204020203" pitchFamily="34" charset="0"/>
            <a:ea typeface="+mn-ea"/>
            <a:cs typeface="Latha" panose="020B0502040204020203" pitchFamily="34" charset="0"/>
          </a:endParaRPr>
        </a:p>
      </xdr:txBody>
    </xdr:sp>
    <xdr:clientData/>
  </xdr:twoCellAnchor>
  <xdr:twoCellAnchor>
    <xdr:from>
      <xdr:col>7</xdr:col>
      <xdr:colOff>584200</xdr:colOff>
      <xdr:row>4</xdr:row>
      <xdr:rowOff>139700</xdr:rowOff>
    </xdr:from>
    <xdr:to>
      <xdr:col>10</xdr:col>
      <xdr:colOff>400050</xdr:colOff>
      <xdr:row>6</xdr:row>
      <xdr:rowOff>44450</xdr:rowOff>
    </xdr:to>
    <xdr:sp macro="" textlink="">
      <xdr:nvSpPr>
        <xdr:cNvPr id="31" name="TextBox 30">
          <a:extLst>
            <a:ext uri="{FF2B5EF4-FFF2-40B4-BE49-F238E27FC236}">
              <a16:creationId xmlns:a16="http://schemas.microsoft.com/office/drawing/2014/main" id="{B7384F5D-4387-47A5-A72A-255ECED1D795}"/>
            </a:ext>
          </a:extLst>
        </xdr:cNvPr>
        <xdr:cNvSpPr txBox="1"/>
      </xdr:nvSpPr>
      <xdr:spPr>
        <a:xfrm>
          <a:off x="4851400" y="876300"/>
          <a:ext cx="16446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baseline="0">
              <a:solidFill>
                <a:schemeClr val="accent3">
                  <a:lumMod val="75000"/>
                </a:schemeClr>
              </a:solidFill>
              <a:latin typeface="Latha" panose="020B0502040204020203" pitchFamily="34" charset="0"/>
              <a:ea typeface="+mn-ea"/>
              <a:cs typeface="Latha" panose="020B0502040204020203" pitchFamily="34" charset="0"/>
            </a:rPr>
            <a:t>ACTIVE</a:t>
          </a:r>
          <a:r>
            <a:rPr lang="en-IN" sz="1300" b="1" baseline="0">
              <a:solidFill>
                <a:schemeClr val="accent3">
                  <a:lumMod val="75000"/>
                </a:schemeClr>
              </a:solidFill>
              <a:latin typeface="Latha" panose="020B0502040204020203" pitchFamily="34" charset="0"/>
              <a:cs typeface="Latha" panose="020B0502040204020203" pitchFamily="34" charset="0"/>
            </a:rPr>
            <a:t> </a:t>
          </a:r>
          <a:r>
            <a:rPr lang="en-IN" sz="1300" b="1" baseline="0">
              <a:solidFill>
                <a:schemeClr val="accent3">
                  <a:lumMod val="75000"/>
                </a:schemeClr>
              </a:solidFill>
              <a:latin typeface="Latha" panose="020B0502040204020203" pitchFamily="34" charset="0"/>
              <a:ea typeface="+mn-ea"/>
              <a:cs typeface="Latha" panose="020B0502040204020203" pitchFamily="34" charset="0"/>
            </a:rPr>
            <a:t>EMPLOYEE</a:t>
          </a:r>
        </a:p>
      </xdr:txBody>
    </xdr:sp>
    <xdr:clientData/>
  </xdr:twoCellAnchor>
  <xdr:twoCellAnchor>
    <xdr:from>
      <xdr:col>1</xdr:col>
      <xdr:colOff>412750</xdr:colOff>
      <xdr:row>6</xdr:row>
      <xdr:rowOff>12700</xdr:rowOff>
    </xdr:from>
    <xdr:to>
      <xdr:col>3</xdr:col>
      <xdr:colOff>311150</xdr:colOff>
      <xdr:row>7</xdr:row>
      <xdr:rowOff>120650</xdr:rowOff>
    </xdr:to>
    <xdr:sp macro="" textlink="KPI!$A$8">
      <xdr:nvSpPr>
        <xdr:cNvPr id="32" name="TextBox 31">
          <a:extLst>
            <a:ext uri="{FF2B5EF4-FFF2-40B4-BE49-F238E27FC236}">
              <a16:creationId xmlns:a16="http://schemas.microsoft.com/office/drawing/2014/main" id="{CF4DF405-C42B-4CE9-8441-C96D2BA7E0DF}"/>
            </a:ext>
          </a:extLst>
        </xdr:cNvPr>
        <xdr:cNvSpPr txBox="1"/>
      </xdr:nvSpPr>
      <xdr:spPr>
        <a:xfrm>
          <a:off x="1022350" y="1117600"/>
          <a:ext cx="11176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6CDEF2-1EBE-4D9F-90B3-630BB5D7E210}" type="TxLink">
            <a:rPr lang="en-US" sz="1500" b="1" i="0" u="none" strike="noStrike">
              <a:solidFill>
                <a:schemeClr val="accent1">
                  <a:lumMod val="50000"/>
                </a:schemeClr>
              </a:solidFill>
              <a:latin typeface="Latha" panose="020B0502040204020203" pitchFamily="34" charset="0"/>
              <a:cs typeface="Latha" panose="020B0502040204020203" pitchFamily="34" charset="0"/>
            </a:rPr>
            <a:pPr algn="ctr"/>
            <a:t>588</a:t>
          </a:fld>
          <a:endParaRPr lang="en-IN" sz="1500" b="1">
            <a:solidFill>
              <a:schemeClr val="accent1">
                <a:lumMod val="50000"/>
              </a:schemeClr>
            </a:solidFill>
            <a:latin typeface="Latha" panose="020B0502040204020203" pitchFamily="34" charset="0"/>
            <a:cs typeface="Latha" panose="020B0502040204020203" pitchFamily="34" charset="0"/>
          </a:endParaRPr>
        </a:p>
      </xdr:txBody>
    </xdr:sp>
    <xdr:clientData/>
  </xdr:twoCellAnchor>
  <xdr:twoCellAnchor>
    <xdr:from>
      <xdr:col>5</xdr:col>
      <xdr:colOff>25400</xdr:colOff>
      <xdr:row>4</xdr:row>
      <xdr:rowOff>127000</xdr:rowOff>
    </xdr:from>
    <xdr:to>
      <xdr:col>7</xdr:col>
      <xdr:colOff>533400</xdr:colOff>
      <xdr:row>6</xdr:row>
      <xdr:rowOff>31750</xdr:rowOff>
    </xdr:to>
    <xdr:sp macro="" textlink="">
      <xdr:nvSpPr>
        <xdr:cNvPr id="33" name="TextBox 32">
          <a:extLst>
            <a:ext uri="{FF2B5EF4-FFF2-40B4-BE49-F238E27FC236}">
              <a16:creationId xmlns:a16="http://schemas.microsoft.com/office/drawing/2014/main" id="{52760969-91FF-1753-0026-F3C70755D5EE}"/>
            </a:ext>
          </a:extLst>
        </xdr:cNvPr>
        <xdr:cNvSpPr txBox="1"/>
      </xdr:nvSpPr>
      <xdr:spPr>
        <a:xfrm>
          <a:off x="3073400" y="863600"/>
          <a:ext cx="17272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baseline="0">
              <a:solidFill>
                <a:schemeClr val="accent3">
                  <a:lumMod val="75000"/>
                </a:schemeClr>
              </a:solidFill>
              <a:latin typeface="Latha" panose="020B0502040204020203" pitchFamily="34" charset="0"/>
              <a:ea typeface="+mn-ea"/>
              <a:cs typeface="Latha" panose="020B0502040204020203" pitchFamily="34" charset="0"/>
            </a:rPr>
            <a:t>ATTRITION</a:t>
          </a:r>
        </a:p>
      </xdr:txBody>
    </xdr:sp>
    <xdr:clientData/>
  </xdr:twoCellAnchor>
  <xdr:twoCellAnchor>
    <xdr:from>
      <xdr:col>5</xdr:col>
      <xdr:colOff>63500</xdr:colOff>
      <xdr:row>6</xdr:row>
      <xdr:rowOff>6350</xdr:rowOff>
    </xdr:from>
    <xdr:to>
      <xdr:col>6</xdr:col>
      <xdr:colOff>381000</xdr:colOff>
      <xdr:row>7</xdr:row>
      <xdr:rowOff>95250</xdr:rowOff>
    </xdr:to>
    <xdr:sp macro="" textlink="KPI!$B$8">
      <xdr:nvSpPr>
        <xdr:cNvPr id="34" name="TextBox 33">
          <a:extLst>
            <a:ext uri="{FF2B5EF4-FFF2-40B4-BE49-F238E27FC236}">
              <a16:creationId xmlns:a16="http://schemas.microsoft.com/office/drawing/2014/main" id="{F9066C0C-73B0-7E9A-D978-43F5C4DAE6A9}"/>
            </a:ext>
          </a:extLst>
        </xdr:cNvPr>
        <xdr:cNvSpPr txBox="1"/>
      </xdr:nvSpPr>
      <xdr:spPr>
        <a:xfrm>
          <a:off x="3111500" y="1111250"/>
          <a:ext cx="9271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E7BB22A-00BF-42FF-A2C8-3DC2335EC3DC}" type="TxLink">
            <a:rPr lang="en-US" sz="1500" b="1" i="0" u="none" strike="noStrike">
              <a:solidFill>
                <a:schemeClr val="accent1">
                  <a:lumMod val="50000"/>
                </a:schemeClr>
              </a:solidFill>
              <a:latin typeface="Latha" panose="020B0502040204020203" pitchFamily="34" charset="0"/>
              <a:ea typeface="+mn-ea"/>
              <a:cs typeface="Latha" panose="020B0502040204020203" pitchFamily="34" charset="0"/>
            </a:rPr>
            <a:pPr marL="0" indent="0" algn="ctr"/>
            <a:t>87</a:t>
          </a:fld>
          <a:endParaRPr lang="en-IN" sz="1500" b="1" i="0" u="none" strike="noStrike">
            <a:solidFill>
              <a:schemeClr val="accent1">
                <a:lumMod val="50000"/>
              </a:schemeClr>
            </a:solidFill>
            <a:latin typeface="Latha" panose="020B0502040204020203" pitchFamily="34" charset="0"/>
            <a:ea typeface="+mn-ea"/>
            <a:cs typeface="Latha" panose="020B0502040204020203" pitchFamily="34" charset="0"/>
          </a:endParaRPr>
        </a:p>
      </xdr:txBody>
    </xdr:sp>
    <xdr:clientData/>
  </xdr:twoCellAnchor>
  <xdr:twoCellAnchor>
    <xdr:from>
      <xdr:col>12</xdr:col>
      <xdr:colOff>19050</xdr:colOff>
      <xdr:row>6</xdr:row>
      <xdr:rowOff>50800</xdr:rowOff>
    </xdr:from>
    <xdr:to>
      <xdr:col>14</xdr:col>
      <xdr:colOff>44450</xdr:colOff>
      <xdr:row>7</xdr:row>
      <xdr:rowOff>158750</xdr:rowOff>
    </xdr:to>
    <xdr:sp macro="" textlink="KPI!$E$8">
      <xdr:nvSpPr>
        <xdr:cNvPr id="35" name="TextBox 34">
          <a:extLst>
            <a:ext uri="{FF2B5EF4-FFF2-40B4-BE49-F238E27FC236}">
              <a16:creationId xmlns:a16="http://schemas.microsoft.com/office/drawing/2014/main" id="{14DC837B-0B97-4095-BB5B-984E72C01101}"/>
            </a:ext>
          </a:extLst>
        </xdr:cNvPr>
        <xdr:cNvSpPr txBox="1"/>
      </xdr:nvSpPr>
      <xdr:spPr>
        <a:xfrm>
          <a:off x="7334250" y="1155700"/>
          <a:ext cx="12446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5BEF964-7D35-46CD-AAFF-947646AC7E5E}" type="TxLink">
            <a:rPr lang="en-US" sz="1500" b="1" i="0" u="none" strike="noStrike">
              <a:solidFill>
                <a:schemeClr val="accent1">
                  <a:lumMod val="50000"/>
                </a:schemeClr>
              </a:solidFill>
              <a:latin typeface="Latha" panose="020B0502040204020203" pitchFamily="34" charset="0"/>
              <a:ea typeface="+mn-ea"/>
              <a:cs typeface="Latha" panose="020B0502040204020203" pitchFamily="34" charset="0"/>
            </a:rPr>
            <a:pPr marL="0" indent="0" algn="ctr"/>
            <a:t>14.80%</a:t>
          </a:fld>
          <a:endParaRPr lang="en-IN" sz="1500" b="1" i="0" u="none" strike="noStrike">
            <a:solidFill>
              <a:schemeClr val="accent1">
                <a:lumMod val="50000"/>
              </a:schemeClr>
            </a:solidFill>
            <a:latin typeface="Latha" panose="020B0502040204020203" pitchFamily="34" charset="0"/>
            <a:ea typeface="+mn-ea"/>
            <a:cs typeface="Latha" panose="020B0502040204020203" pitchFamily="34" charset="0"/>
          </a:endParaRPr>
        </a:p>
      </xdr:txBody>
    </xdr:sp>
    <xdr:clientData/>
  </xdr:twoCellAnchor>
  <xdr:twoCellAnchor>
    <xdr:from>
      <xdr:col>11</xdr:col>
      <xdr:colOff>368300</xdr:colOff>
      <xdr:row>4</xdr:row>
      <xdr:rowOff>165100</xdr:rowOff>
    </xdr:from>
    <xdr:to>
      <xdr:col>14</xdr:col>
      <xdr:colOff>31750</xdr:colOff>
      <xdr:row>6</xdr:row>
      <xdr:rowOff>69850</xdr:rowOff>
    </xdr:to>
    <xdr:sp macro="" textlink="">
      <xdr:nvSpPr>
        <xdr:cNvPr id="36" name="TextBox 35">
          <a:extLst>
            <a:ext uri="{FF2B5EF4-FFF2-40B4-BE49-F238E27FC236}">
              <a16:creationId xmlns:a16="http://schemas.microsoft.com/office/drawing/2014/main" id="{B61D88CD-2CA3-4D72-8367-CB8401419496}"/>
            </a:ext>
          </a:extLst>
        </xdr:cNvPr>
        <xdr:cNvSpPr txBox="1"/>
      </xdr:nvSpPr>
      <xdr:spPr>
        <a:xfrm>
          <a:off x="7073900" y="901700"/>
          <a:ext cx="14922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baseline="0">
              <a:solidFill>
                <a:schemeClr val="accent3">
                  <a:lumMod val="75000"/>
                </a:schemeClr>
              </a:solidFill>
              <a:latin typeface="Latha" panose="020B0502040204020203" pitchFamily="34" charset="0"/>
              <a:ea typeface="+mn-ea"/>
              <a:cs typeface="Latha" panose="020B0502040204020203" pitchFamily="34" charset="0"/>
            </a:rPr>
            <a:t>ATTRITON</a:t>
          </a:r>
          <a:r>
            <a:rPr lang="en-IN" sz="1300" b="1" baseline="0">
              <a:solidFill>
                <a:schemeClr val="accent3">
                  <a:lumMod val="75000"/>
                </a:schemeClr>
              </a:solidFill>
              <a:latin typeface="Latha" panose="020B0502040204020203" pitchFamily="34" charset="0"/>
              <a:cs typeface="Latha" panose="020B0502040204020203" pitchFamily="34" charset="0"/>
            </a:rPr>
            <a:t> </a:t>
          </a:r>
          <a:r>
            <a:rPr lang="en-IN" sz="1300" b="1" baseline="0">
              <a:solidFill>
                <a:schemeClr val="accent3">
                  <a:lumMod val="75000"/>
                </a:schemeClr>
              </a:solidFill>
              <a:latin typeface="Latha" panose="020B0502040204020203" pitchFamily="34" charset="0"/>
              <a:ea typeface="+mn-ea"/>
              <a:cs typeface="Latha" panose="020B0502040204020203" pitchFamily="34" charset="0"/>
            </a:rPr>
            <a:t>RATE</a:t>
          </a:r>
        </a:p>
      </xdr:txBody>
    </xdr:sp>
    <xdr:clientData/>
  </xdr:twoCellAnchor>
  <xdr:twoCellAnchor>
    <xdr:from>
      <xdr:col>15</xdr:col>
      <xdr:colOff>355600</xdr:colOff>
      <xdr:row>6</xdr:row>
      <xdr:rowOff>38100</xdr:rowOff>
    </xdr:from>
    <xdr:to>
      <xdr:col>17</xdr:col>
      <xdr:colOff>381000</xdr:colOff>
      <xdr:row>7</xdr:row>
      <xdr:rowOff>146050</xdr:rowOff>
    </xdr:to>
    <xdr:sp macro="" textlink="KPI!$C$8">
      <xdr:nvSpPr>
        <xdr:cNvPr id="39" name="TextBox 38">
          <a:extLst>
            <a:ext uri="{FF2B5EF4-FFF2-40B4-BE49-F238E27FC236}">
              <a16:creationId xmlns:a16="http://schemas.microsoft.com/office/drawing/2014/main" id="{8779DBD2-8326-3536-BDFC-26F02A70E84D}"/>
            </a:ext>
          </a:extLst>
        </xdr:cNvPr>
        <xdr:cNvSpPr txBox="1"/>
      </xdr:nvSpPr>
      <xdr:spPr>
        <a:xfrm>
          <a:off x="9499600" y="1143000"/>
          <a:ext cx="12446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AAA60FE-D489-4F7B-B213-5C4AAD76E0CD}" type="TxLink">
            <a:rPr lang="en-US" sz="1500" b="1" i="0" u="none" strike="noStrike">
              <a:solidFill>
                <a:schemeClr val="accent1">
                  <a:lumMod val="50000"/>
                </a:schemeClr>
              </a:solidFill>
              <a:latin typeface="Latha" panose="020B0502040204020203" pitchFamily="34" charset="0"/>
              <a:ea typeface="+mn-ea"/>
              <a:cs typeface="Latha" panose="020B0502040204020203" pitchFamily="34" charset="0"/>
            </a:rPr>
            <a:pPr marL="0" indent="0" algn="ctr"/>
            <a:t>37</a:t>
          </a:fld>
          <a:endParaRPr lang="en-IN" sz="1500" b="1" i="0" u="none" strike="noStrike">
            <a:solidFill>
              <a:schemeClr val="accent1">
                <a:lumMod val="50000"/>
              </a:schemeClr>
            </a:solidFill>
            <a:latin typeface="Latha" panose="020B0502040204020203" pitchFamily="34" charset="0"/>
            <a:ea typeface="+mn-ea"/>
            <a:cs typeface="Latha" panose="020B0502040204020203" pitchFamily="34" charset="0"/>
          </a:endParaRPr>
        </a:p>
      </xdr:txBody>
    </xdr:sp>
    <xdr:clientData/>
  </xdr:twoCellAnchor>
  <xdr:twoCellAnchor>
    <xdr:from>
      <xdr:col>15</xdr:col>
      <xdr:colOff>88900</xdr:colOff>
      <xdr:row>4</xdr:row>
      <xdr:rowOff>177800</xdr:rowOff>
    </xdr:from>
    <xdr:to>
      <xdr:col>17</xdr:col>
      <xdr:colOff>190500</xdr:colOff>
      <xdr:row>6</xdr:row>
      <xdr:rowOff>82550</xdr:rowOff>
    </xdr:to>
    <xdr:sp macro="" textlink="">
      <xdr:nvSpPr>
        <xdr:cNvPr id="40" name="TextBox 39">
          <a:extLst>
            <a:ext uri="{FF2B5EF4-FFF2-40B4-BE49-F238E27FC236}">
              <a16:creationId xmlns:a16="http://schemas.microsoft.com/office/drawing/2014/main" id="{57D378E8-0D07-9295-90F5-745BBECAFB17}"/>
            </a:ext>
          </a:extLst>
        </xdr:cNvPr>
        <xdr:cNvSpPr txBox="1"/>
      </xdr:nvSpPr>
      <xdr:spPr>
        <a:xfrm>
          <a:off x="9232900" y="914400"/>
          <a:ext cx="13208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baseline="0">
              <a:solidFill>
                <a:schemeClr val="accent3">
                  <a:lumMod val="75000"/>
                </a:schemeClr>
              </a:solidFill>
              <a:latin typeface="Latha" panose="020B0502040204020203" pitchFamily="34" charset="0"/>
              <a:ea typeface="+mn-ea"/>
              <a:cs typeface="Latha" panose="020B0502040204020203" pitchFamily="34" charset="0"/>
            </a:rPr>
            <a:t>AVERAGE</a:t>
          </a:r>
          <a:r>
            <a:rPr lang="en-IN" sz="1300" b="1" baseline="0">
              <a:solidFill>
                <a:schemeClr val="accent3">
                  <a:lumMod val="75000"/>
                </a:schemeClr>
              </a:solidFill>
              <a:latin typeface="Latha" panose="020B0502040204020203" pitchFamily="34" charset="0"/>
              <a:cs typeface="Latha" panose="020B0502040204020203" pitchFamily="34" charset="0"/>
            </a:rPr>
            <a:t> </a:t>
          </a:r>
          <a:r>
            <a:rPr lang="en-IN" sz="1300" b="1" baseline="0">
              <a:solidFill>
                <a:schemeClr val="accent3">
                  <a:lumMod val="75000"/>
                </a:schemeClr>
              </a:solidFill>
              <a:latin typeface="Latha" panose="020B0502040204020203" pitchFamily="34" charset="0"/>
              <a:ea typeface="+mn-ea"/>
              <a:cs typeface="Latha" panose="020B0502040204020203" pitchFamily="34" charset="0"/>
            </a:rPr>
            <a:t>AGE</a:t>
          </a:r>
        </a:p>
      </xdr:txBody>
    </xdr:sp>
    <xdr:clientData/>
  </xdr:twoCellAnchor>
  <xdr:oneCellAnchor>
    <xdr:from>
      <xdr:col>3</xdr:col>
      <xdr:colOff>488949</xdr:colOff>
      <xdr:row>5</xdr:row>
      <xdr:rowOff>19050</xdr:rowOff>
    </xdr:from>
    <xdr:ext cx="292101" cy="228600"/>
    <xdr:pic>
      <xdr:nvPicPr>
        <xdr:cNvPr id="37" name="image4.png">
          <a:extLst>
            <a:ext uri="{FF2B5EF4-FFF2-40B4-BE49-F238E27FC236}">
              <a16:creationId xmlns:a16="http://schemas.microsoft.com/office/drawing/2014/main" id="{C802D3D7-8CC4-484D-8076-96DA10EA0574}"/>
            </a:ext>
          </a:extLst>
        </xdr:cNvPr>
        <xdr:cNvPicPr preferRelativeResize="0"/>
      </xdr:nvPicPr>
      <xdr:blipFill>
        <a:blip xmlns:r="http://schemas.openxmlformats.org/officeDocument/2006/relationships" r:embed="rId1" cstate="print">
          <a:alphaModFix amt="88000"/>
        </a:blip>
        <a:stretch>
          <a:fillRect/>
        </a:stretch>
      </xdr:blipFill>
      <xdr:spPr>
        <a:xfrm>
          <a:off x="2317749" y="939800"/>
          <a:ext cx="292101" cy="228600"/>
        </a:xfrm>
        <a:prstGeom prst="rect">
          <a:avLst/>
        </a:prstGeom>
        <a:solidFill>
          <a:srgbClr val="EB7B43"/>
        </a:solidFill>
        <a:ln>
          <a:noFill/>
        </a:ln>
      </xdr:spPr>
    </xdr:pic>
    <xdr:clientData fLocksWithSheet="0"/>
  </xdr:oneCellAnchor>
  <xdr:oneCellAnchor>
    <xdr:from>
      <xdr:col>10</xdr:col>
      <xdr:colOff>425450</xdr:colOff>
      <xdr:row>5</xdr:row>
      <xdr:rowOff>31749</xdr:rowOff>
    </xdr:from>
    <xdr:ext cx="361950" cy="234951"/>
    <xdr:pic>
      <xdr:nvPicPr>
        <xdr:cNvPr id="38" name="image5.png">
          <a:extLst>
            <a:ext uri="{FF2B5EF4-FFF2-40B4-BE49-F238E27FC236}">
              <a16:creationId xmlns:a16="http://schemas.microsoft.com/office/drawing/2014/main" id="{D99C0BA3-D9E4-441E-8702-D114A1CA06E0}"/>
            </a:ext>
          </a:extLst>
        </xdr:cNvPr>
        <xdr:cNvPicPr preferRelativeResize="0"/>
      </xdr:nvPicPr>
      <xdr:blipFill>
        <a:blip xmlns:r="http://schemas.openxmlformats.org/officeDocument/2006/relationships" r:embed="rId2" cstate="print">
          <a:alphaModFix amt="88000"/>
        </a:blip>
        <a:stretch>
          <a:fillRect/>
        </a:stretch>
      </xdr:blipFill>
      <xdr:spPr>
        <a:xfrm>
          <a:off x="6521450" y="952499"/>
          <a:ext cx="361950" cy="234951"/>
        </a:xfrm>
        <a:prstGeom prst="rect">
          <a:avLst/>
        </a:prstGeom>
        <a:solidFill>
          <a:srgbClr val="EB7B43"/>
        </a:solidFill>
        <a:ln>
          <a:noFill/>
        </a:ln>
      </xdr:spPr>
    </xdr:pic>
    <xdr:clientData fLocksWithSheet="0"/>
  </xdr:oneCellAnchor>
  <xdr:oneCellAnchor>
    <xdr:from>
      <xdr:col>14</xdr:col>
      <xdr:colOff>146050</xdr:colOff>
      <xdr:row>5</xdr:row>
      <xdr:rowOff>19051</xdr:rowOff>
    </xdr:from>
    <xdr:ext cx="314325" cy="273049"/>
    <xdr:pic>
      <xdr:nvPicPr>
        <xdr:cNvPr id="41" name="image2.png">
          <a:extLst>
            <a:ext uri="{FF2B5EF4-FFF2-40B4-BE49-F238E27FC236}">
              <a16:creationId xmlns:a16="http://schemas.microsoft.com/office/drawing/2014/main" id="{EF71633B-D370-4096-AE2B-848798676A10}"/>
            </a:ext>
          </a:extLst>
        </xdr:cNvPr>
        <xdr:cNvPicPr preferRelativeResize="0"/>
      </xdr:nvPicPr>
      <xdr:blipFill>
        <a:blip xmlns:r="http://schemas.openxmlformats.org/officeDocument/2006/relationships" r:embed="rId3" cstate="print">
          <a:alphaModFix amt="88000"/>
        </a:blip>
        <a:stretch>
          <a:fillRect/>
        </a:stretch>
      </xdr:blipFill>
      <xdr:spPr>
        <a:xfrm>
          <a:off x="8680450" y="939801"/>
          <a:ext cx="314325" cy="273049"/>
        </a:xfrm>
        <a:prstGeom prst="rect">
          <a:avLst/>
        </a:prstGeom>
        <a:noFill/>
      </xdr:spPr>
    </xdr:pic>
    <xdr:clientData fLocksWithSheet="0"/>
  </xdr:oneCellAnchor>
  <xdr:oneCellAnchor>
    <xdr:from>
      <xdr:col>17</xdr:col>
      <xdr:colOff>444500</xdr:colOff>
      <xdr:row>5</xdr:row>
      <xdr:rowOff>25401</xdr:rowOff>
    </xdr:from>
    <xdr:ext cx="282575" cy="247649"/>
    <xdr:pic>
      <xdr:nvPicPr>
        <xdr:cNvPr id="42" name="image6.png">
          <a:extLst>
            <a:ext uri="{FF2B5EF4-FFF2-40B4-BE49-F238E27FC236}">
              <a16:creationId xmlns:a16="http://schemas.microsoft.com/office/drawing/2014/main" id="{6D4DC910-8617-41E6-B250-8EF9B1520297}"/>
            </a:ext>
          </a:extLst>
        </xdr:cNvPr>
        <xdr:cNvPicPr preferRelativeResize="0"/>
      </xdr:nvPicPr>
      <xdr:blipFill>
        <a:blip xmlns:r="http://schemas.openxmlformats.org/officeDocument/2006/relationships" r:embed="rId4" cstate="print">
          <a:alphaModFix amt="88000"/>
        </a:blip>
        <a:stretch>
          <a:fillRect/>
        </a:stretch>
      </xdr:blipFill>
      <xdr:spPr>
        <a:xfrm>
          <a:off x="10807700" y="946151"/>
          <a:ext cx="282575" cy="247649"/>
        </a:xfrm>
        <a:prstGeom prst="rect">
          <a:avLst/>
        </a:prstGeom>
        <a:noFill/>
      </xdr:spPr>
    </xdr:pic>
    <xdr:clientData fLocksWithSheet="0"/>
  </xdr:oneCellAnchor>
  <xdr:oneCellAnchor>
    <xdr:from>
      <xdr:col>7</xdr:col>
      <xdr:colOff>196850</xdr:colOff>
      <xdr:row>5</xdr:row>
      <xdr:rowOff>25400</xdr:rowOff>
    </xdr:from>
    <xdr:ext cx="320675" cy="266700"/>
    <xdr:pic>
      <xdr:nvPicPr>
        <xdr:cNvPr id="43" name="image7.png">
          <a:extLst>
            <a:ext uri="{FF2B5EF4-FFF2-40B4-BE49-F238E27FC236}">
              <a16:creationId xmlns:a16="http://schemas.microsoft.com/office/drawing/2014/main" id="{78F1451D-CDB8-4E69-B567-365464533283}"/>
            </a:ext>
          </a:extLst>
        </xdr:cNvPr>
        <xdr:cNvPicPr preferRelativeResize="0"/>
      </xdr:nvPicPr>
      <xdr:blipFill>
        <a:blip xmlns:r="http://schemas.openxmlformats.org/officeDocument/2006/relationships" r:embed="rId5" cstate="print">
          <a:alphaModFix amt="88000"/>
        </a:blip>
        <a:stretch>
          <a:fillRect/>
        </a:stretch>
      </xdr:blipFill>
      <xdr:spPr>
        <a:xfrm>
          <a:off x="4464050" y="946150"/>
          <a:ext cx="320675" cy="266700"/>
        </a:xfrm>
        <a:prstGeom prst="rect">
          <a:avLst/>
        </a:prstGeom>
        <a:noFill/>
        <a:ln>
          <a:noFill/>
        </a:ln>
      </xdr:spPr>
    </xdr:pic>
    <xdr:clientData fLocksWithSheet="0"/>
  </xdr:oneCellAnchor>
  <xdr:twoCellAnchor>
    <xdr:from>
      <xdr:col>2</xdr:col>
      <xdr:colOff>317500</xdr:colOff>
      <xdr:row>2</xdr:row>
      <xdr:rowOff>0</xdr:rowOff>
    </xdr:from>
    <xdr:to>
      <xdr:col>9</xdr:col>
      <xdr:colOff>323850</xdr:colOff>
      <xdr:row>4</xdr:row>
      <xdr:rowOff>6350</xdr:rowOff>
    </xdr:to>
    <xdr:sp macro="" textlink="">
      <xdr:nvSpPr>
        <xdr:cNvPr id="44" name="TextBox 43">
          <a:extLst>
            <a:ext uri="{FF2B5EF4-FFF2-40B4-BE49-F238E27FC236}">
              <a16:creationId xmlns:a16="http://schemas.microsoft.com/office/drawing/2014/main" id="{EA3D1BE2-C163-C4C7-2170-46C33BE3C08F}"/>
            </a:ext>
          </a:extLst>
        </xdr:cNvPr>
        <xdr:cNvSpPr txBox="1"/>
      </xdr:nvSpPr>
      <xdr:spPr>
        <a:xfrm>
          <a:off x="1536700" y="368300"/>
          <a:ext cx="42735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b="1">
              <a:solidFill>
                <a:srgbClr val="002060"/>
              </a:solidFill>
              <a:latin typeface="Congenial SemiBold" panose="020F0502020204030204" pitchFamily="2" charset="0"/>
            </a:rPr>
            <a:t>HR ANALYITICS</a:t>
          </a:r>
          <a:r>
            <a:rPr lang="en-IN" sz="2500" b="1" baseline="0">
              <a:solidFill>
                <a:srgbClr val="002060"/>
              </a:solidFill>
              <a:latin typeface="Congenial SemiBold" panose="020F0502020204030204" pitchFamily="2" charset="0"/>
            </a:rPr>
            <a:t> DASHBOARD</a:t>
          </a:r>
          <a:endParaRPr lang="en-IN" sz="2500" b="1">
            <a:solidFill>
              <a:srgbClr val="002060"/>
            </a:solidFill>
            <a:latin typeface="Congenial SemiBold" panose="020F0502020204030204" pitchFamily="2" charset="0"/>
          </a:endParaRPr>
        </a:p>
      </xdr:txBody>
    </xdr:sp>
    <xdr:clientData/>
  </xdr:twoCellAnchor>
  <xdr:oneCellAnchor>
    <xdr:from>
      <xdr:col>1</xdr:col>
      <xdr:colOff>82550</xdr:colOff>
      <xdr:row>2</xdr:row>
      <xdr:rowOff>1</xdr:rowOff>
    </xdr:from>
    <xdr:ext cx="647699" cy="463550"/>
    <xdr:pic>
      <xdr:nvPicPr>
        <xdr:cNvPr id="45" name="image1.png">
          <a:extLst>
            <a:ext uri="{FF2B5EF4-FFF2-40B4-BE49-F238E27FC236}">
              <a16:creationId xmlns:a16="http://schemas.microsoft.com/office/drawing/2014/main" id="{87F7A2F1-0454-41DE-B6DD-B8CFC63B4079}"/>
            </a:ext>
          </a:extLst>
        </xdr:cNvPr>
        <xdr:cNvPicPr preferRelativeResize="0"/>
      </xdr:nvPicPr>
      <xdr:blipFill>
        <a:blip xmlns:r="http://schemas.openxmlformats.org/officeDocument/2006/relationships" r:embed="rId6" cstate="print"/>
        <a:stretch>
          <a:fillRect/>
        </a:stretch>
      </xdr:blipFill>
      <xdr:spPr>
        <a:xfrm>
          <a:off x="692150" y="368301"/>
          <a:ext cx="647699" cy="463550"/>
        </a:xfrm>
        <a:prstGeom prst="rect">
          <a:avLst/>
        </a:prstGeom>
        <a:noFill/>
      </xdr:spPr>
    </xdr:pic>
    <xdr:clientData fLocksWithSheet="0"/>
  </xdr:oneCellAnchor>
  <xdr:oneCellAnchor>
    <xdr:from>
      <xdr:col>11</xdr:col>
      <xdr:colOff>209550</xdr:colOff>
      <xdr:row>2</xdr:row>
      <xdr:rowOff>25399</xdr:rowOff>
    </xdr:from>
    <xdr:ext cx="514350" cy="431801"/>
    <xdr:pic>
      <xdr:nvPicPr>
        <xdr:cNvPr id="46" name="image3.png">
          <a:extLst>
            <a:ext uri="{FF2B5EF4-FFF2-40B4-BE49-F238E27FC236}">
              <a16:creationId xmlns:a16="http://schemas.microsoft.com/office/drawing/2014/main" id="{1EF19127-8F22-46B3-9976-D81B4CE262F8}"/>
            </a:ext>
          </a:extLst>
        </xdr:cNvPr>
        <xdr:cNvPicPr preferRelativeResize="0"/>
      </xdr:nvPicPr>
      <xdr:blipFill>
        <a:blip xmlns:r="http://schemas.openxmlformats.org/officeDocument/2006/relationships" r:embed="rId7" cstate="print">
          <a:alphaModFix amt="83000"/>
        </a:blip>
        <a:stretch>
          <a:fillRect/>
        </a:stretch>
      </xdr:blipFill>
      <xdr:spPr>
        <a:xfrm>
          <a:off x="6915150" y="393699"/>
          <a:ext cx="514350" cy="431801"/>
        </a:xfrm>
        <a:prstGeom prst="rect">
          <a:avLst/>
        </a:prstGeom>
        <a:noFill/>
      </xdr:spPr>
    </xdr:pic>
    <xdr:clientData fLocksWithSheet="0"/>
  </xdr:oneCellAnchor>
  <xdr:twoCellAnchor>
    <xdr:from>
      <xdr:col>12</xdr:col>
      <xdr:colOff>165100</xdr:colOff>
      <xdr:row>2</xdr:row>
      <xdr:rowOff>0</xdr:rowOff>
    </xdr:from>
    <xdr:to>
      <xdr:col>14</xdr:col>
      <xdr:colOff>393700</xdr:colOff>
      <xdr:row>4</xdr:row>
      <xdr:rowOff>82550</xdr:rowOff>
    </xdr:to>
    <xdr:sp macro="" textlink="">
      <xdr:nvSpPr>
        <xdr:cNvPr id="47" name="TextBox 46">
          <a:extLst>
            <a:ext uri="{FF2B5EF4-FFF2-40B4-BE49-F238E27FC236}">
              <a16:creationId xmlns:a16="http://schemas.microsoft.com/office/drawing/2014/main" id="{D89554DE-3128-4AC6-DBF6-7738A08D3C9A}"/>
            </a:ext>
          </a:extLst>
        </xdr:cNvPr>
        <xdr:cNvSpPr txBox="1"/>
      </xdr:nvSpPr>
      <xdr:spPr>
        <a:xfrm>
          <a:off x="7480300" y="368300"/>
          <a:ext cx="14478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5E260A"/>
              </a:solidFill>
              <a:latin typeface="Congenial SemiBold" panose="020F0502020204030204" pitchFamily="2" charset="0"/>
            </a:rPr>
            <a:t>JOB</a:t>
          </a:r>
        </a:p>
        <a:p>
          <a:pPr algn="ctr"/>
          <a:r>
            <a:rPr lang="en-IN" sz="1050" b="1">
              <a:solidFill>
                <a:srgbClr val="5E260A"/>
              </a:solidFill>
              <a:latin typeface="Congenial SemiBold" panose="020F0502020204030204" pitchFamily="2" charset="0"/>
            </a:rPr>
            <a:t>SATISFACTION RATING</a:t>
          </a:r>
        </a:p>
      </xdr:txBody>
    </xdr:sp>
    <xdr:clientData/>
  </xdr:twoCellAnchor>
  <xdr:twoCellAnchor>
    <xdr:from>
      <xdr:col>14</xdr:col>
      <xdr:colOff>374650</xdr:colOff>
      <xdr:row>2</xdr:row>
      <xdr:rowOff>0</xdr:rowOff>
    </xdr:from>
    <xdr:to>
      <xdr:col>16</xdr:col>
      <xdr:colOff>57150</xdr:colOff>
      <xdr:row>4</xdr:row>
      <xdr:rowOff>101600</xdr:rowOff>
    </xdr:to>
    <xdr:graphicFrame macro="">
      <xdr:nvGraphicFramePr>
        <xdr:cNvPr id="48" name="Chart 47">
          <a:extLst>
            <a:ext uri="{FF2B5EF4-FFF2-40B4-BE49-F238E27FC236}">
              <a16:creationId xmlns:a16="http://schemas.microsoft.com/office/drawing/2014/main" id="{C6F0FB2E-CF60-41C2-9AF1-8E210EB3B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63500</xdr:colOff>
      <xdr:row>2</xdr:row>
      <xdr:rowOff>139700</xdr:rowOff>
    </xdr:from>
    <xdr:to>
      <xdr:col>15</xdr:col>
      <xdr:colOff>406400</xdr:colOff>
      <xdr:row>3</xdr:row>
      <xdr:rowOff>158750</xdr:rowOff>
    </xdr:to>
    <xdr:sp macro="" textlink="Rating!$B$6">
      <xdr:nvSpPr>
        <xdr:cNvPr id="49" name="TextBox 48">
          <a:extLst>
            <a:ext uri="{FF2B5EF4-FFF2-40B4-BE49-F238E27FC236}">
              <a16:creationId xmlns:a16="http://schemas.microsoft.com/office/drawing/2014/main" id="{94663283-AA60-4683-E357-7FE5BD01D24C}"/>
            </a:ext>
          </a:extLst>
        </xdr:cNvPr>
        <xdr:cNvSpPr txBox="1"/>
      </xdr:nvSpPr>
      <xdr:spPr>
        <a:xfrm>
          <a:off x="9207500" y="508000"/>
          <a:ext cx="3429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755EB4-FACA-4506-B3C4-31000E91ECFF}" type="TxLink">
            <a:rPr lang="en-US" sz="900" b="1" i="0" u="none" strike="noStrike">
              <a:solidFill>
                <a:srgbClr val="000000"/>
              </a:solidFill>
              <a:latin typeface="Congenial SemiBold" panose="020F0502020204030204" pitchFamily="2" charset="0"/>
            </a:rPr>
            <a:pPr/>
            <a:t>2.6</a:t>
          </a:fld>
          <a:endParaRPr lang="en-IN" sz="900" b="1">
            <a:latin typeface="Congenial SemiBold" panose="020F0502020204030204" pitchFamily="2" charset="0"/>
          </a:endParaRPr>
        </a:p>
      </xdr:txBody>
    </xdr:sp>
    <xdr:clientData/>
  </xdr:twoCellAnchor>
  <xdr:twoCellAnchor>
    <xdr:from>
      <xdr:col>15</xdr:col>
      <xdr:colOff>482601</xdr:colOff>
      <xdr:row>1</xdr:row>
      <xdr:rowOff>165100</xdr:rowOff>
    </xdr:from>
    <xdr:to>
      <xdr:col>18</xdr:col>
      <xdr:colOff>133350</xdr:colOff>
      <xdr:row>4</xdr:row>
      <xdr:rowOff>57150</xdr:rowOff>
    </xdr:to>
    <xdr:graphicFrame macro="">
      <xdr:nvGraphicFramePr>
        <xdr:cNvPr id="51" name="Chart 50">
          <a:extLst>
            <a:ext uri="{FF2B5EF4-FFF2-40B4-BE49-F238E27FC236}">
              <a16:creationId xmlns:a16="http://schemas.microsoft.com/office/drawing/2014/main" id="{5AAFCA75-EE1F-4A34-9A3C-6859F8148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444501</xdr:colOff>
      <xdr:row>2</xdr:row>
      <xdr:rowOff>126999</xdr:rowOff>
    </xdr:from>
    <xdr:to>
      <xdr:col>18</xdr:col>
      <xdr:colOff>107950</xdr:colOff>
      <xdr:row>4</xdr:row>
      <xdr:rowOff>76200</xdr:rowOff>
    </xdr:to>
    <xdr:sp macro="" textlink="">
      <xdr:nvSpPr>
        <xdr:cNvPr id="52" name="Freeform: Shape 51">
          <a:extLst>
            <a:ext uri="{FF2B5EF4-FFF2-40B4-BE49-F238E27FC236}">
              <a16:creationId xmlns:a16="http://schemas.microsoft.com/office/drawing/2014/main" id="{FCE93482-792F-CF8D-86FC-DE1469DBA68A}"/>
            </a:ext>
          </a:extLst>
        </xdr:cNvPr>
        <xdr:cNvSpPr/>
      </xdr:nvSpPr>
      <xdr:spPr>
        <a:xfrm>
          <a:off x="9588501" y="495299"/>
          <a:ext cx="1492249" cy="317501"/>
        </a:xfrm>
        <a:custGeom>
          <a:avLst/>
          <a:gdLst>
            <a:gd name="csX0" fmla="*/ 728331 w 1881963"/>
            <a:gd name="csY0" fmla="*/ 90376 h 467833"/>
            <a:gd name="csX1" fmla="*/ 684407 w 1881963"/>
            <a:gd name="csY1" fmla="*/ 202061 h 467833"/>
            <a:gd name="csX2" fmla="*/ 542261 w 1881963"/>
            <a:gd name="csY2" fmla="*/ 202061 h 467833"/>
            <a:gd name="csX3" fmla="*/ 657260 w 1881963"/>
            <a:gd name="csY3" fmla="*/ 271085 h 467833"/>
            <a:gd name="csX4" fmla="*/ 613334 w 1881963"/>
            <a:gd name="csY4" fmla="*/ 382770 h 467833"/>
            <a:gd name="csX5" fmla="*/ 728331 w 1881963"/>
            <a:gd name="csY5" fmla="*/ 313744 h 467833"/>
            <a:gd name="csX6" fmla="*/ 843328 w 1881963"/>
            <a:gd name="csY6" fmla="*/ 382770 h 467833"/>
            <a:gd name="csX7" fmla="*/ 799402 w 1881963"/>
            <a:gd name="csY7" fmla="*/ 271085 h 467833"/>
            <a:gd name="csX8" fmla="*/ 914401 w 1881963"/>
            <a:gd name="csY8" fmla="*/ 202061 h 467833"/>
            <a:gd name="csX9" fmla="*/ 772255 w 1881963"/>
            <a:gd name="csY9" fmla="*/ 202061 h 467833"/>
            <a:gd name="csX10" fmla="*/ 1171354 w 1881963"/>
            <a:gd name="csY10" fmla="*/ 90375 h 467833"/>
            <a:gd name="csX11" fmla="*/ 1127430 w 1881963"/>
            <a:gd name="csY11" fmla="*/ 202060 h 467833"/>
            <a:gd name="csX12" fmla="*/ 985284 w 1881963"/>
            <a:gd name="csY12" fmla="*/ 202060 h 467833"/>
            <a:gd name="csX13" fmla="*/ 1100283 w 1881963"/>
            <a:gd name="csY13" fmla="*/ 271084 h 467833"/>
            <a:gd name="csX14" fmla="*/ 1056357 w 1881963"/>
            <a:gd name="csY14" fmla="*/ 382769 h 467833"/>
            <a:gd name="csX15" fmla="*/ 1171354 w 1881963"/>
            <a:gd name="csY15" fmla="*/ 313743 h 467833"/>
            <a:gd name="csX16" fmla="*/ 1286351 w 1881963"/>
            <a:gd name="csY16" fmla="*/ 382769 h 467833"/>
            <a:gd name="csX17" fmla="*/ 1242425 w 1881963"/>
            <a:gd name="csY17" fmla="*/ 271084 h 467833"/>
            <a:gd name="csX18" fmla="*/ 1357424 w 1881963"/>
            <a:gd name="csY18" fmla="*/ 202060 h 467833"/>
            <a:gd name="csX19" fmla="*/ 1215278 w 1881963"/>
            <a:gd name="csY19" fmla="*/ 202060 h 467833"/>
            <a:gd name="csX20" fmla="*/ 1614377 w 1881963"/>
            <a:gd name="csY20" fmla="*/ 90374 h 467833"/>
            <a:gd name="csX21" fmla="*/ 1570453 w 1881963"/>
            <a:gd name="csY21" fmla="*/ 202059 h 467833"/>
            <a:gd name="csX22" fmla="*/ 1428307 w 1881963"/>
            <a:gd name="csY22" fmla="*/ 202059 h 467833"/>
            <a:gd name="csX23" fmla="*/ 1543306 w 1881963"/>
            <a:gd name="csY23" fmla="*/ 271083 h 467833"/>
            <a:gd name="csX24" fmla="*/ 1499380 w 1881963"/>
            <a:gd name="csY24" fmla="*/ 382768 h 467833"/>
            <a:gd name="csX25" fmla="*/ 1614377 w 1881963"/>
            <a:gd name="csY25" fmla="*/ 313742 h 467833"/>
            <a:gd name="csX26" fmla="*/ 1729374 w 1881963"/>
            <a:gd name="csY26" fmla="*/ 382768 h 467833"/>
            <a:gd name="csX27" fmla="*/ 1685448 w 1881963"/>
            <a:gd name="csY27" fmla="*/ 271083 h 467833"/>
            <a:gd name="csX28" fmla="*/ 1800447 w 1881963"/>
            <a:gd name="csY28" fmla="*/ 202059 h 467833"/>
            <a:gd name="csX29" fmla="*/ 1658301 w 1881963"/>
            <a:gd name="csY29" fmla="*/ 202059 h 467833"/>
            <a:gd name="csX30" fmla="*/ 285308 w 1881963"/>
            <a:gd name="csY30" fmla="*/ 90374 h 467833"/>
            <a:gd name="csX31" fmla="*/ 241384 w 1881963"/>
            <a:gd name="csY31" fmla="*/ 202059 h 467833"/>
            <a:gd name="csX32" fmla="*/ 99238 w 1881963"/>
            <a:gd name="csY32" fmla="*/ 202059 h 467833"/>
            <a:gd name="csX33" fmla="*/ 214237 w 1881963"/>
            <a:gd name="csY33" fmla="*/ 271083 h 467833"/>
            <a:gd name="csX34" fmla="*/ 170311 w 1881963"/>
            <a:gd name="csY34" fmla="*/ 382768 h 467833"/>
            <a:gd name="csX35" fmla="*/ 285308 w 1881963"/>
            <a:gd name="csY35" fmla="*/ 313742 h 467833"/>
            <a:gd name="csX36" fmla="*/ 400305 w 1881963"/>
            <a:gd name="csY36" fmla="*/ 382768 h 467833"/>
            <a:gd name="csX37" fmla="*/ 356379 w 1881963"/>
            <a:gd name="csY37" fmla="*/ 271083 h 467833"/>
            <a:gd name="csX38" fmla="*/ 471378 w 1881963"/>
            <a:gd name="csY38" fmla="*/ 202059 h 467833"/>
            <a:gd name="csX39" fmla="*/ 329232 w 1881963"/>
            <a:gd name="csY39" fmla="*/ 202059 h 467833"/>
            <a:gd name="csX40" fmla="*/ 0 w 1881963"/>
            <a:gd name="csY40" fmla="*/ 0 h 467833"/>
            <a:gd name="csX41" fmla="*/ 1881963 w 1881963"/>
            <a:gd name="csY41" fmla="*/ 0 h 467833"/>
            <a:gd name="csX42" fmla="*/ 1881963 w 1881963"/>
            <a:gd name="csY42" fmla="*/ 467833 h 467833"/>
            <a:gd name="csX43" fmla="*/ 0 w 1881963"/>
            <a:gd name="csY43" fmla="*/ 467833 h 46783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881963" h="467833">
              <a:moveTo>
                <a:pt x="728331" y="90376"/>
              </a:moveTo>
              <a:lnTo>
                <a:pt x="684407" y="202061"/>
              </a:lnTo>
              <a:lnTo>
                <a:pt x="542261" y="202061"/>
              </a:lnTo>
              <a:lnTo>
                <a:pt x="657260" y="271085"/>
              </a:lnTo>
              <a:lnTo>
                <a:pt x="613334" y="382770"/>
              </a:lnTo>
              <a:lnTo>
                <a:pt x="728331" y="313744"/>
              </a:lnTo>
              <a:lnTo>
                <a:pt x="843328" y="382770"/>
              </a:lnTo>
              <a:lnTo>
                <a:pt x="799402" y="271085"/>
              </a:lnTo>
              <a:lnTo>
                <a:pt x="914401" y="202061"/>
              </a:lnTo>
              <a:lnTo>
                <a:pt x="772255" y="202061"/>
              </a:lnTo>
              <a:close/>
              <a:moveTo>
                <a:pt x="1171354" y="90375"/>
              </a:moveTo>
              <a:lnTo>
                <a:pt x="1127430" y="202060"/>
              </a:lnTo>
              <a:lnTo>
                <a:pt x="985284" y="202060"/>
              </a:lnTo>
              <a:lnTo>
                <a:pt x="1100283" y="271084"/>
              </a:lnTo>
              <a:lnTo>
                <a:pt x="1056357" y="382769"/>
              </a:lnTo>
              <a:lnTo>
                <a:pt x="1171354" y="313743"/>
              </a:lnTo>
              <a:lnTo>
                <a:pt x="1286351" y="382769"/>
              </a:lnTo>
              <a:lnTo>
                <a:pt x="1242425" y="271084"/>
              </a:lnTo>
              <a:lnTo>
                <a:pt x="1357424" y="202060"/>
              </a:lnTo>
              <a:lnTo>
                <a:pt x="1215278" y="202060"/>
              </a:lnTo>
              <a:close/>
              <a:moveTo>
                <a:pt x="1614377" y="90374"/>
              </a:moveTo>
              <a:lnTo>
                <a:pt x="1570453" y="202059"/>
              </a:lnTo>
              <a:lnTo>
                <a:pt x="1428307" y="202059"/>
              </a:lnTo>
              <a:lnTo>
                <a:pt x="1543306" y="271083"/>
              </a:lnTo>
              <a:lnTo>
                <a:pt x="1499380" y="382768"/>
              </a:lnTo>
              <a:lnTo>
                <a:pt x="1614377" y="313742"/>
              </a:lnTo>
              <a:lnTo>
                <a:pt x="1729374" y="382768"/>
              </a:lnTo>
              <a:lnTo>
                <a:pt x="1685448" y="271083"/>
              </a:lnTo>
              <a:lnTo>
                <a:pt x="1800447" y="202059"/>
              </a:lnTo>
              <a:lnTo>
                <a:pt x="1658301" y="202059"/>
              </a:lnTo>
              <a:close/>
              <a:moveTo>
                <a:pt x="285308" y="90374"/>
              </a:moveTo>
              <a:lnTo>
                <a:pt x="241384" y="202059"/>
              </a:lnTo>
              <a:lnTo>
                <a:pt x="99238" y="202059"/>
              </a:lnTo>
              <a:lnTo>
                <a:pt x="214237" y="271083"/>
              </a:lnTo>
              <a:lnTo>
                <a:pt x="170311" y="382768"/>
              </a:lnTo>
              <a:lnTo>
                <a:pt x="285308" y="313742"/>
              </a:lnTo>
              <a:lnTo>
                <a:pt x="400305" y="382768"/>
              </a:lnTo>
              <a:lnTo>
                <a:pt x="356379" y="271083"/>
              </a:lnTo>
              <a:lnTo>
                <a:pt x="471378" y="202059"/>
              </a:lnTo>
              <a:lnTo>
                <a:pt x="329232" y="202059"/>
              </a:lnTo>
              <a:close/>
              <a:moveTo>
                <a:pt x="0" y="0"/>
              </a:moveTo>
              <a:lnTo>
                <a:pt x="1881963" y="0"/>
              </a:lnTo>
              <a:lnTo>
                <a:pt x="1881963" y="467833"/>
              </a:lnTo>
              <a:lnTo>
                <a:pt x="0" y="467833"/>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577850</xdr:colOff>
      <xdr:row>12</xdr:row>
      <xdr:rowOff>3175</xdr:rowOff>
    </xdr:from>
    <xdr:to>
      <xdr:col>6</xdr:col>
      <xdr:colOff>25400</xdr:colOff>
      <xdr:row>17</xdr:row>
      <xdr:rowOff>66675</xdr:rowOff>
    </xdr:to>
    <xdr:grpSp>
      <xdr:nvGrpSpPr>
        <xdr:cNvPr id="63" name="Group 62">
          <a:extLst>
            <a:ext uri="{FF2B5EF4-FFF2-40B4-BE49-F238E27FC236}">
              <a16:creationId xmlns:a16="http://schemas.microsoft.com/office/drawing/2014/main" id="{D3203D79-0B5A-88A8-F834-DAB7FDDAD249}"/>
            </a:ext>
          </a:extLst>
        </xdr:cNvPr>
        <xdr:cNvGrpSpPr/>
      </xdr:nvGrpSpPr>
      <xdr:grpSpPr>
        <a:xfrm>
          <a:off x="577850" y="2212975"/>
          <a:ext cx="3105150" cy="984250"/>
          <a:chOff x="533400" y="2105025"/>
          <a:chExt cx="3105150" cy="984250"/>
        </a:xfrm>
      </xdr:grpSpPr>
      <xdr:graphicFrame macro="">
        <xdr:nvGraphicFramePr>
          <xdr:cNvPr id="54" name="Chart 53">
            <a:extLst>
              <a:ext uri="{FF2B5EF4-FFF2-40B4-BE49-F238E27FC236}">
                <a16:creationId xmlns:a16="http://schemas.microsoft.com/office/drawing/2014/main" id="{E4FDBF08-6F9E-4798-89D7-44B80926A207}"/>
              </a:ext>
            </a:extLst>
          </xdr:cNvPr>
          <xdr:cNvGraphicFramePr>
            <a:graphicFrameLocks/>
          </xdr:cNvGraphicFramePr>
        </xdr:nvGraphicFramePr>
        <xdr:xfrm>
          <a:off x="533400" y="2112100"/>
          <a:ext cx="1054100" cy="9701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5" name="Chart 54">
            <a:extLst>
              <a:ext uri="{FF2B5EF4-FFF2-40B4-BE49-F238E27FC236}">
                <a16:creationId xmlns:a16="http://schemas.microsoft.com/office/drawing/2014/main" id="{1F435231-2DD4-4E6D-A04B-39EA7797ACFA}"/>
              </a:ext>
            </a:extLst>
          </xdr:cNvPr>
          <xdr:cNvGraphicFramePr>
            <a:graphicFrameLocks/>
          </xdr:cNvGraphicFramePr>
        </xdr:nvGraphicFramePr>
        <xdr:xfrm>
          <a:off x="2584450" y="2105025"/>
          <a:ext cx="1054100" cy="98425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7" name="Graphic 56" descr="User with solid fill">
            <a:extLst>
              <a:ext uri="{FF2B5EF4-FFF2-40B4-BE49-F238E27FC236}">
                <a16:creationId xmlns:a16="http://schemas.microsoft.com/office/drawing/2014/main" id="{5CF42154-5410-7A06-9584-101E64E6A32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176087" y="2279650"/>
            <a:ext cx="567114" cy="620866"/>
          </a:xfrm>
          <a:prstGeom prst="rect">
            <a:avLst/>
          </a:prstGeom>
        </xdr:spPr>
      </xdr:pic>
      <xdr:pic>
        <xdr:nvPicPr>
          <xdr:cNvPr id="59" name="Graphic 58" descr="Male profile with solid fill">
            <a:extLst>
              <a:ext uri="{FF2B5EF4-FFF2-40B4-BE49-F238E27FC236}">
                <a16:creationId xmlns:a16="http://schemas.microsoft.com/office/drawing/2014/main" id="{DA84EB5D-41A6-09AE-5013-FCAA74630F2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17650" y="2292542"/>
            <a:ext cx="508572" cy="584357"/>
          </a:xfrm>
          <a:prstGeom prst="rect">
            <a:avLst/>
          </a:prstGeom>
        </xdr:spPr>
      </xdr:pic>
      <xdr:sp macro="" textlink="Gender!$B$9">
        <xdr:nvSpPr>
          <xdr:cNvPr id="60" name="TextBox 59">
            <a:extLst>
              <a:ext uri="{FF2B5EF4-FFF2-40B4-BE49-F238E27FC236}">
                <a16:creationId xmlns:a16="http://schemas.microsoft.com/office/drawing/2014/main" id="{35D669EC-7C9A-40CA-0C35-DDADA96F2347}"/>
              </a:ext>
            </a:extLst>
          </xdr:cNvPr>
          <xdr:cNvSpPr txBox="1"/>
        </xdr:nvSpPr>
        <xdr:spPr>
          <a:xfrm>
            <a:off x="812800" y="2495550"/>
            <a:ext cx="3556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EFAB7C-835C-4A5D-A07F-81A0037A245F}" type="TxLink">
              <a:rPr lang="en-US" sz="800" b="1" i="0" u="none" strike="noStrike">
                <a:solidFill>
                  <a:srgbClr val="002060"/>
                </a:solidFill>
                <a:latin typeface="Calibri" panose="020F0502020204030204" pitchFamily="34" charset="0"/>
                <a:cs typeface="Calibri" panose="020F0502020204030204" pitchFamily="34" charset="0"/>
              </a:rPr>
              <a:pPr/>
              <a:t>588</a:t>
            </a:fld>
            <a:endParaRPr lang="en-IN" sz="800" b="1">
              <a:solidFill>
                <a:srgbClr val="002060"/>
              </a:solidFill>
              <a:latin typeface="Calibri" panose="020F0502020204030204" pitchFamily="34" charset="0"/>
              <a:cs typeface="Calibri" panose="020F0502020204030204" pitchFamily="34" charset="0"/>
            </a:endParaRPr>
          </a:p>
        </xdr:txBody>
      </xdr:sp>
      <xdr:sp macro="" textlink="Gender!$B$10">
        <xdr:nvSpPr>
          <xdr:cNvPr id="61" name="TextBox 60">
            <a:extLst>
              <a:ext uri="{FF2B5EF4-FFF2-40B4-BE49-F238E27FC236}">
                <a16:creationId xmlns:a16="http://schemas.microsoft.com/office/drawing/2014/main" id="{E0CC97F5-9B62-4353-AE9A-96F0189DEA0D}"/>
              </a:ext>
            </a:extLst>
          </xdr:cNvPr>
          <xdr:cNvSpPr txBox="1"/>
        </xdr:nvSpPr>
        <xdr:spPr>
          <a:xfrm>
            <a:off x="3041650" y="2457450"/>
            <a:ext cx="4000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A78E93-24C9-41FA-A286-57EAB39E6382}" type="TxLink">
              <a:rPr lang="en-US" sz="1000" b="1" i="0" u="none" strike="noStrike">
                <a:solidFill>
                  <a:srgbClr val="002060"/>
                </a:solidFill>
                <a:latin typeface="Calibri" panose="020F0502020204030204" pitchFamily="34" charset="0"/>
                <a:cs typeface="Calibri" panose="020F0502020204030204" pitchFamily="34" charset="0"/>
              </a:rPr>
              <a:pPr/>
              <a:t>0</a:t>
            </a:fld>
            <a:endParaRPr lang="en-IN" sz="600" b="1">
              <a:solidFill>
                <a:srgbClr val="002060"/>
              </a:solidFill>
              <a:latin typeface="Calibri" panose="020F0502020204030204" pitchFamily="34" charset="0"/>
              <a:cs typeface="Calibri" panose="020F0502020204030204" pitchFamily="34" charset="0"/>
            </a:endParaRPr>
          </a:p>
        </xdr:txBody>
      </xdr:sp>
    </xdr:grpSp>
    <xdr:clientData/>
  </xdr:twoCellAnchor>
  <xdr:twoCellAnchor>
    <xdr:from>
      <xdr:col>1</xdr:col>
      <xdr:colOff>120650</xdr:colOff>
      <xdr:row>8</xdr:row>
      <xdr:rowOff>57150</xdr:rowOff>
    </xdr:from>
    <xdr:to>
      <xdr:col>4</xdr:col>
      <xdr:colOff>317500</xdr:colOff>
      <xdr:row>9</xdr:row>
      <xdr:rowOff>76200</xdr:rowOff>
    </xdr:to>
    <xdr:sp macro="" textlink="">
      <xdr:nvSpPr>
        <xdr:cNvPr id="64" name="TextBox 63">
          <a:extLst>
            <a:ext uri="{FF2B5EF4-FFF2-40B4-BE49-F238E27FC236}">
              <a16:creationId xmlns:a16="http://schemas.microsoft.com/office/drawing/2014/main" id="{8332E9AD-F935-C39C-4A44-779DFD8B442D}"/>
            </a:ext>
          </a:extLst>
        </xdr:cNvPr>
        <xdr:cNvSpPr txBox="1"/>
      </xdr:nvSpPr>
      <xdr:spPr>
        <a:xfrm>
          <a:off x="730250" y="1530350"/>
          <a:ext cx="20256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6">
                  <a:lumMod val="50000"/>
                </a:schemeClr>
              </a:solidFill>
              <a:latin typeface="Latha" panose="020B0502040204020203" pitchFamily="34" charset="0"/>
              <a:cs typeface="Latha" panose="020B0502040204020203" pitchFamily="34" charset="0"/>
            </a:rPr>
            <a:t>Total Employee by Gender</a:t>
          </a:r>
        </a:p>
      </xdr:txBody>
    </xdr:sp>
    <xdr:clientData/>
  </xdr:twoCellAnchor>
  <xdr:twoCellAnchor editAs="oneCell">
    <xdr:from>
      <xdr:col>2</xdr:col>
      <xdr:colOff>209550</xdr:colOff>
      <xdr:row>9</xdr:row>
      <xdr:rowOff>107950</xdr:rowOff>
    </xdr:from>
    <xdr:to>
      <xdr:col>4</xdr:col>
      <xdr:colOff>508000</xdr:colOff>
      <xdr:row>13</xdr:row>
      <xdr:rowOff>19050</xdr:rowOff>
    </xdr:to>
    <mc:AlternateContent xmlns:mc="http://schemas.openxmlformats.org/markup-compatibility/2006" xmlns:a14="http://schemas.microsoft.com/office/drawing/2010/main">
      <mc:Choice Requires="a14">
        <xdr:graphicFrame macro="">
          <xdr:nvGraphicFramePr>
            <xdr:cNvPr id="50" name="Gender 3">
              <a:extLst>
                <a:ext uri="{FF2B5EF4-FFF2-40B4-BE49-F238E27FC236}">
                  <a16:creationId xmlns:a16="http://schemas.microsoft.com/office/drawing/2014/main" id="{7213CAFE-A9D5-40A9-88DE-2B9740F4E471}"/>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428750" y="1765300"/>
              <a:ext cx="151765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203200</xdr:colOff>
      <xdr:row>9</xdr:row>
      <xdr:rowOff>120651</xdr:rowOff>
    </xdr:from>
    <xdr:to>
      <xdr:col>12</xdr:col>
      <xdr:colOff>234950</xdr:colOff>
      <xdr:row>16</xdr:row>
      <xdr:rowOff>171450</xdr:rowOff>
    </xdr:to>
    <xdr:graphicFrame macro="">
      <xdr:nvGraphicFramePr>
        <xdr:cNvPr id="53" name="Chart 52">
          <a:extLst>
            <a:ext uri="{FF2B5EF4-FFF2-40B4-BE49-F238E27FC236}">
              <a16:creationId xmlns:a16="http://schemas.microsoft.com/office/drawing/2014/main" id="{2D49E287-E74C-463D-825A-21079117A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323850</xdr:colOff>
      <xdr:row>8</xdr:row>
      <xdr:rowOff>69850</xdr:rowOff>
    </xdr:from>
    <xdr:to>
      <xdr:col>10</xdr:col>
      <xdr:colOff>177800</xdr:colOff>
      <xdr:row>9</xdr:row>
      <xdr:rowOff>101600</xdr:rowOff>
    </xdr:to>
    <xdr:sp macro="" textlink="">
      <xdr:nvSpPr>
        <xdr:cNvPr id="56" name="TextBox 55">
          <a:extLst>
            <a:ext uri="{FF2B5EF4-FFF2-40B4-BE49-F238E27FC236}">
              <a16:creationId xmlns:a16="http://schemas.microsoft.com/office/drawing/2014/main" id="{9E26F08C-255B-6D87-2F26-D3F8DABE10AD}"/>
            </a:ext>
          </a:extLst>
        </xdr:cNvPr>
        <xdr:cNvSpPr txBox="1"/>
      </xdr:nvSpPr>
      <xdr:spPr>
        <a:xfrm>
          <a:off x="3981450" y="1543050"/>
          <a:ext cx="2292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6">
                  <a:lumMod val="50000"/>
                </a:schemeClr>
              </a:solidFill>
              <a:latin typeface="Latha" panose="020B0502040204020203" pitchFamily="34" charset="0"/>
              <a:ea typeface="+mn-ea"/>
              <a:cs typeface="Latha" panose="020B0502040204020203" pitchFamily="34" charset="0"/>
            </a:rPr>
            <a:t>Education</a:t>
          </a:r>
          <a:r>
            <a:rPr lang="en-IN" sz="1100" baseline="0"/>
            <a:t> </a:t>
          </a:r>
          <a:r>
            <a:rPr lang="en-IN" sz="1050" b="1" baseline="0">
              <a:solidFill>
                <a:schemeClr val="accent6">
                  <a:lumMod val="50000"/>
                </a:schemeClr>
              </a:solidFill>
              <a:latin typeface="Latha" panose="020B0502040204020203" pitchFamily="34" charset="0"/>
              <a:ea typeface="+mn-ea"/>
              <a:cs typeface="Latha" panose="020B0502040204020203" pitchFamily="34" charset="0"/>
            </a:rPr>
            <a:t>wise</a:t>
          </a:r>
          <a:r>
            <a:rPr lang="en-IN" sz="1100" baseline="0"/>
            <a:t> </a:t>
          </a:r>
          <a:r>
            <a:rPr lang="en-IN" sz="1050" b="1">
              <a:solidFill>
                <a:schemeClr val="accent6">
                  <a:lumMod val="50000"/>
                </a:schemeClr>
              </a:solidFill>
              <a:latin typeface="Latha" panose="020B0502040204020203" pitchFamily="34" charset="0"/>
              <a:ea typeface="+mn-ea"/>
              <a:cs typeface="Latha" panose="020B0502040204020203" pitchFamily="34" charset="0"/>
            </a:rPr>
            <a:t>Attrition</a:t>
          </a:r>
        </a:p>
      </xdr:txBody>
    </xdr:sp>
    <xdr:clientData/>
  </xdr:twoCellAnchor>
  <xdr:twoCellAnchor>
    <xdr:from>
      <xdr:col>12</xdr:col>
      <xdr:colOff>419100</xdr:colOff>
      <xdr:row>9</xdr:row>
      <xdr:rowOff>133351</xdr:rowOff>
    </xdr:from>
    <xdr:to>
      <xdr:col>18</xdr:col>
      <xdr:colOff>158749</xdr:colOff>
      <xdr:row>16</xdr:row>
      <xdr:rowOff>165100</xdr:rowOff>
    </xdr:to>
    <mc:AlternateContent xmlns:mc="http://schemas.openxmlformats.org/markup-compatibility/2006">
      <mc:Choice xmlns:cx1="http://schemas.microsoft.com/office/drawing/2015/9/8/chartex" Requires="cx1">
        <xdr:graphicFrame macro="">
          <xdr:nvGraphicFramePr>
            <xdr:cNvPr id="58" name="Chart 57">
              <a:extLst>
                <a:ext uri="{FF2B5EF4-FFF2-40B4-BE49-F238E27FC236}">
                  <a16:creationId xmlns:a16="http://schemas.microsoft.com/office/drawing/2014/main" id="{630441F0-C650-44B9-8800-F38C5E167A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7734300" y="1790701"/>
              <a:ext cx="3397249" cy="13207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457200</xdr:colOff>
      <xdr:row>8</xdr:row>
      <xdr:rowOff>50800</xdr:rowOff>
    </xdr:from>
    <xdr:to>
      <xdr:col>16</xdr:col>
      <xdr:colOff>311150</xdr:colOff>
      <xdr:row>9</xdr:row>
      <xdr:rowOff>82550</xdr:rowOff>
    </xdr:to>
    <xdr:sp macro="" textlink="">
      <xdr:nvSpPr>
        <xdr:cNvPr id="62" name="TextBox 61">
          <a:extLst>
            <a:ext uri="{FF2B5EF4-FFF2-40B4-BE49-F238E27FC236}">
              <a16:creationId xmlns:a16="http://schemas.microsoft.com/office/drawing/2014/main" id="{686117A3-92C0-4697-9EFC-6BDF40A6A02F}"/>
            </a:ext>
          </a:extLst>
        </xdr:cNvPr>
        <xdr:cNvSpPr txBox="1"/>
      </xdr:nvSpPr>
      <xdr:spPr>
        <a:xfrm>
          <a:off x="7772400" y="1524000"/>
          <a:ext cx="2292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6">
                  <a:lumMod val="50000"/>
                </a:schemeClr>
              </a:solidFill>
              <a:latin typeface="Latha" panose="020B0502040204020203" pitchFamily="34" charset="0"/>
              <a:ea typeface="+mn-ea"/>
              <a:cs typeface="Latha" panose="020B0502040204020203" pitchFamily="34" charset="0"/>
            </a:rPr>
            <a:t>Attrition</a:t>
          </a:r>
          <a:r>
            <a:rPr lang="en-IN" sz="1050" b="1" baseline="0">
              <a:solidFill>
                <a:schemeClr val="accent6">
                  <a:lumMod val="50000"/>
                </a:schemeClr>
              </a:solidFill>
              <a:latin typeface="Latha" panose="020B0502040204020203" pitchFamily="34" charset="0"/>
              <a:ea typeface="+mn-ea"/>
              <a:cs typeface="Latha" panose="020B0502040204020203" pitchFamily="34" charset="0"/>
            </a:rPr>
            <a:t> by Job Role</a:t>
          </a:r>
          <a:endParaRPr lang="en-IN" sz="1050" b="1">
            <a:solidFill>
              <a:schemeClr val="accent6">
                <a:lumMod val="50000"/>
              </a:schemeClr>
            </a:solidFill>
            <a:latin typeface="Latha" panose="020B0502040204020203" pitchFamily="34" charset="0"/>
            <a:ea typeface="+mn-ea"/>
            <a:cs typeface="Latha" panose="020B0502040204020203" pitchFamily="34" charset="0"/>
          </a:endParaRPr>
        </a:p>
      </xdr:txBody>
    </xdr:sp>
    <xdr:clientData/>
  </xdr:twoCellAnchor>
  <xdr:twoCellAnchor>
    <xdr:from>
      <xdr:col>1</xdr:col>
      <xdr:colOff>190500</xdr:colOff>
      <xdr:row>18</xdr:row>
      <xdr:rowOff>95249</xdr:rowOff>
    </xdr:from>
    <xdr:to>
      <xdr:col>5</xdr:col>
      <xdr:colOff>495300</xdr:colOff>
      <xdr:row>25</xdr:row>
      <xdr:rowOff>88900</xdr:rowOff>
    </xdr:to>
    <xdr:graphicFrame macro="">
      <xdr:nvGraphicFramePr>
        <xdr:cNvPr id="65" name="Chart 64">
          <a:extLst>
            <a:ext uri="{FF2B5EF4-FFF2-40B4-BE49-F238E27FC236}">
              <a16:creationId xmlns:a16="http://schemas.microsoft.com/office/drawing/2014/main" id="{9A0936B1-14EE-4030-A4DA-B8F53A3AE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139700</xdr:colOff>
      <xdr:row>17</xdr:row>
      <xdr:rowOff>50800</xdr:rowOff>
    </xdr:from>
    <xdr:to>
      <xdr:col>4</xdr:col>
      <xdr:colOff>603250</xdr:colOff>
      <xdr:row>18</xdr:row>
      <xdr:rowOff>82550</xdr:rowOff>
    </xdr:to>
    <xdr:sp macro="" textlink="">
      <xdr:nvSpPr>
        <xdr:cNvPr id="67" name="TextBox 66">
          <a:extLst>
            <a:ext uri="{FF2B5EF4-FFF2-40B4-BE49-F238E27FC236}">
              <a16:creationId xmlns:a16="http://schemas.microsoft.com/office/drawing/2014/main" id="{B57F43BE-BAF1-4815-AB38-330DFB3EED66}"/>
            </a:ext>
          </a:extLst>
        </xdr:cNvPr>
        <xdr:cNvSpPr txBox="1"/>
      </xdr:nvSpPr>
      <xdr:spPr>
        <a:xfrm>
          <a:off x="749300" y="3181350"/>
          <a:ext cx="2292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6">
                  <a:lumMod val="50000"/>
                </a:schemeClr>
              </a:solidFill>
              <a:latin typeface="Latha" panose="020B0502040204020203" pitchFamily="34" charset="0"/>
              <a:ea typeface="+mn-ea"/>
              <a:cs typeface="Latha" panose="020B0502040204020203" pitchFamily="34" charset="0"/>
            </a:rPr>
            <a:t>Department</a:t>
          </a:r>
          <a:r>
            <a:rPr lang="en-IN" sz="1050" b="1" baseline="0">
              <a:solidFill>
                <a:schemeClr val="accent6">
                  <a:lumMod val="50000"/>
                </a:schemeClr>
              </a:solidFill>
              <a:latin typeface="Latha" panose="020B0502040204020203" pitchFamily="34" charset="0"/>
              <a:ea typeface="+mn-ea"/>
              <a:cs typeface="Latha" panose="020B0502040204020203" pitchFamily="34" charset="0"/>
            </a:rPr>
            <a:t> wise </a:t>
          </a:r>
          <a:r>
            <a:rPr lang="en-IN" sz="1050" b="1">
              <a:solidFill>
                <a:schemeClr val="accent6">
                  <a:lumMod val="50000"/>
                </a:schemeClr>
              </a:solidFill>
              <a:latin typeface="Latha" panose="020B0502040204020203" pitchFamily="34" charset="0"/>
              <a:ea typeface="+mn-ea"/>
              <a:cs typeface="Latha" panose="020B0502040204020203" pitchFamily="34" charset="0"/>
            </a:rPr>
            <a:t>Attrition</a:t>
          </a:r>
        </a:p>
      </xdr:txBody>
    </xdr:sp>
    <xdr:clientData/>
  </xdr:twoCellAnchor>
  <xdr:twoCellAnchor>
    <xdr:from>
      <xdr:col>6</xdr:col>
      <xdr:colOff>171450</xdr:colOff>
      <xdr:row>18</xdr:row>
      <xdr:rowOff>139700</xdr:rowOff>
    </xdr:from>
    <xdr:to>
      <xdr:col>10</xdr:col>
      <xdr:colOff>527050</xdr:colOff>
      <xdr:row>25</xdr:row>
      <xdr:rowOff>114300</xdr:rowOff>
    </xdr:to>
    <xdr:graphicFrame macro="">
      <xdr:nvGraphicFramePr>
        <xdr:cNvPr id="69" name="Chart 68">
          <a:extLst>
            <a:ext uri="{FF2B5EF4-FFF2-40B4-BE49-F238E27FC236}">
              <a16:creationId xmlns:a16="http://schemas.microsoft.com/office/drawing/2014/main" id="{8A35D7EB-A39D-4A70-8ED5-29EDC53A6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285750</xdr:colOff>
      <xdr:row>17</xdr:row>
      <xdr:rowOff>44450</xdr:rowOff>
    </xdr:from>
    <xdr:to>
      <xdr:col>10</xdr:col>
      <xdr:colOff>139700</xdr:colOff>
      <xdr:row>18</xdr:row>
      <xdr:rowOff>76200</xdr:rowOff>
    </xdr:to>
    <xdr:sp macro="" textlink="">
      <xdr:nvSpPr>
        <xdr:cNvPr id="70" name="TextBox 69">
          <a:extLst>
            <a:ext uri="{FF2B5EF4-FFF2-40B4-BE49-F238E27FC236}">
              <a16:creationId xmlns:a16="http://schemas.microsoft.com/office/drawing/2014/main" id="{EE3CF86C-6C52-4486-BB07-82C241407F58}"/>
            </a:ext>
          </a:extLst>
        </xdr:cNvPr>
        <xdr:cNvSpPr txBox="1"/>
      </xdr:nvSpPr>
      <xdr:spPr>
        <a:xfrm>
          <a:off x="3943350" y="3175000"/>
          <a:ext cx="2292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6">
                  <a:lumMod val="50000"/>
                </a:schemeClr>
              </a:solidFill>
              <a:latin typeface="Latha" panose="020B0502040204020203" pitchFamily="34" charset="0"/>
              <a:ea typeface="+mn-ea"/>
              <a:cs typeface="Latha" panose="020B0502040204020203" pitchFamily="34" charset="0"/>
            </a:rPr>
            <a:t>Attrition by Age Group</a:t>
          </a:r>
        </a:p>
      </xdr:txBody>
    </xdr:sp>
    <xdr:clientData/>
  </xdr:twoCellAnchor>
  <xdr:twoCellAnchor>
    <xdr:from>
      <xdr:col>11</xdr:col>
      <xdr:colOff>25401</xdr:colOff>
      <xdr:row>18</xdr:row>
      <xdr:rowOff>76200</xdr:rowOff>
    </xdr:from>
    <xdr:to>
      <xdr:col>14</xdr:col>
      <xdr:colOff>374650</xdr:colOff>
      <xdr:row>25</xdr:row>
      <xdr:rowOff>133350</xdr:rowOff>
    </xdr:to>
    <mc:AlternateContent xmlns:mc="http://schemas.openxmlformats.org/markup-compatibility/2006">
      <mc:Choice xmlns:cx2="http://schemas.microsoft.com/office/drawing/2015/10/21/chartex" Requires="cx2">
        <xdr:graphicFrame macro="">
          <xdr:nvGraphicFramePr>
            <xdr:cNvPr id="71" name="Chart 70">
              <a:extLst>
                <a:ext uri="{FF2B5EF4-FFF2-40B4-BE49-F238E27FC236}">
                  <a16:creationId xmlns:a16="http://schemas.microsoft.com/office/drawing/2014/main" id="{EDC01884-D420-4F81-B473-BC7E98D156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6731001" y="3390900"/>
              <a:ext cx="2178049" cy="1346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95250</xdr:colOff>
      <xdr:row>17</xdr:row>
      <xdr:rowOff>31750</xdr:rowOff>
    </xdr:from>
    <xdr:to>
      <xdr:col>14</xdr:col>
      <xdr:colOff>558800</xdr:colOff>
      <xdr:row>18</xdr:row>
      <xdr:rowOff>63500</xdr:rowOff>
    </xdr:to>
    <xdr:sp macro="" textlink="">
      <xdr:nvSpPr>
        <xdr:cNvPr id="73" name="TextBox 72">
          <a:extLst>
            <a:ext uri="{FF2B5EF4-FFF2-40B4-BE49-F238E27FC236}">
              <a16:creationId xmlns:a16="http://schemas.microsoft.com/office/drawing/2014/main" id="{05B220B7-E28D-473C-922C-451101D9C524}"/>
            </a:ext>
          </a:extLst>
        </xdr:cNvPr>
        <xdr:cNvSpPr txBox="1"/>
      </xdr:nvSpPr>
      <xdr:spPr>
        <a:xfrm>
          <a:off x="6800850" y="3162300"/>
          <a:ext cx="2292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6">
                  <a:lumMod val="50000"/>
                </a:schemeClr>
              </a:solidFill>
              <a:latin typeface="Latha" panose="020B0502040204020203" pitchFamily="34" charset="0"/>
              <a:ea typeface="+mn-ea"/>
              <a:cs typeface="Latha" panose="020B0502040204020203" pitchFamily="34" charset="0"/>
            </a:rPr>
            <a:t>Attrition by Marital</a:t>
          </a:r>
          <a:r>
            <a:rPr lang="en-IN" sz="1050" b="1" baseline="0">
              <a:solidFill>
                <a:schemeClr val="accent6">
                  <a:lumMod val="50000"/>
                </a:schemeClr>
              </a:solidFill>
              <a:latin typeface="Latha" panose="020B0502040204020203" pitchFamily="34" charset="0"/>
              <a:ea typeface="+mn-ea"/>
              <a:cs typeface="Latha" panose="020B0502040204020203" pitchFamily="34" charset="0"/>
            </a:rPr>
            <a:t> Status</a:t>
          </a:r>
          <a:endParaRPr lang="en-IN" sz="1050" b="1">
            <a:solidFill>
              <a:schemeClr val="accent6">
                <a:lumMod val="50000"/>
              </a:schemeClr>
            </a:solidFill>
            <a:latin typeface="Latha" panose="020B0502040204020203" pitchFamily="34" charset="0"/>
            <a:ea typeface="+mn-ea"/>
            <a:cs typeface="Latha" panose="020B0502040204020203" pitchFamily="34" charset="0"/>
          </a:endParaRPr>
        </a:p>
      </xdr:txBody>
    </xdr:sp>
    <xdr:clientData/>
  </xdr:twoCellAnchor>
  <xdr:twoCellAnchor editAs="oneCell">
    <xdr:from>
      <xdr:col>17</xdr:col>
      <xdr:colOff>95251</xdr:colOff>
      <xdr:row>18</xdr:row>
      <xdr:rowOff>139700</xdr:rowOff>
    </xdr:from>
    <xdr:to>
      <xdr:col>18</xdr:col>
      <xdr:colOff>190500</xdr:colOff>
      <xdr:row>25</xdr:row>
      <xdr:rowOff>76199</xdr:rowOff>
    </xdr:to>
    <mc:AlternateContent xmlns:mc="http://schemas.openxmlformats.org/markup-compatibility/2006">
      <mc:Choice xmlns:a14="http://schemas.microsoft.com/office/drawing/2010/main" Requires="a14">
        <xdr:graphicFrame macro="">
          <xdr:nvGraphicFramePr>
            <xdr:cNvPr id="74" name="Department 1">
              <a:extLst>
                <a:ext uri="{FF2B5EF4-FFF2-40B4-BE49-F238E27FC236}">
                  <a16:creationId xmlns:a16="http://schemas.microsoft.com/office/drawing/2014/main" id="{87ECB986-5109-45CF-A460-756A87BBF4C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458451" y="3454400"/>
              <a:ext cx="704849" cy="1225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565150</xdr:colOff>
      <xdr:row>18</xdr:row>
      <xdr:rowOff>127000</xdr:rowOff>
    </xdr:from>
    <xdr:to>
      <xdr:col>17</xdr:col>
      <xdr:colOff>63500</xdr:colOff>
      <xdr:row>25</xdr:row>
      <xdr:rowOff>76200</xdr:rowOff>
    </xdr:to>
    <mc:AlternateContent xmlns:mc="http://schemas.openxmlformats.org/markup-compatibility/2006">
      <mc:Choice xmlns:a14="http://schemas.microsoft.com/office/drawing/2010/main" Requires="a14">
        <xdr:graphicFrame macro="">
          <xdr:nvGraphicFramePr>
            <xdr:cNvPr id="75" name="Education Field 2">
              <a:extLst>
                <a:ext uri="{FF2B5EF4-FFF2-40B4-BE49-F238E27FC236}">
                  <a16:creationId xmlns:a16="http://schemas.microsoft.com/office/drawing/2014/main" id="{3D3D9E4C-F880-463F-AA11-D9DCF7197FB7}"/>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9099550" y="3441700"/>
              <a:ext cx="132715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69850</xdr:colOff>
      <xdr:row>17</xdr:row>
      <xdr:rowOff>57150</xdr:rowOff>
    </xdr:from>
    <xdr:to>
      <xdr:col>16</xdr:col>
      <xdr:colOff>552450</xdr:colOff>
      <xdr:row>18</xdr:row>
      <xdr:rowOff>57150</xdr:rowOff>
    </xdr:to>
    <xdr:sp macro="" textlink="">
      <xdr:nvSpPr>
        <xdr:cNvPr id="66" name="TextBox 65">
          <a:extLst>
            <a:ext uri="{FF2B5EF4-FFF2-40B4-BE49-F238E27FC236}">
              <a16:creationId xmlns:a16="http://schemas.microsoft.com/office/drawing/2014/main" id="{51877D40-DDFE-C657-6CB6-90B115F2D31E}"/>
            </a:ext>
          </a:extLst>
        </xdr:cNvPr>
        <xdr:cNvSpPr txBox="1"/>
      </xdr:nvSpPr>
      <xdr:spPr>
        <a:xfrm>
          <a:off x="9213850" y="3187700"/>
          <a:ext cx="10922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2">
                  <a:lumMod val="50000"/>
                </a:schemeClr>
              </a:solidFill>
              <a:latin typeface="Calibri" panose="020F0502020204030204" pitchFamily="34" charset="0"/>
              <a:cs typeface="Calibri" panose="020F0502020204030204" pitchFamily="34" charset="0"/>
            </a:rPr>
            <a:t>Education Field</a:t>
          </a:r>
        </a:p>
      </xdr:txBody>
    </xdr:sp>
    <xdr:clientData/>
  </xdr:twoCellAnchor>
  <xdr:twoCellAnchor>
    <xdr:from>
      <xdr:col>17</xdr:col>
      <xdr:colOff>0</xdr:colOff>
      <xdr:row>17</xdr:row>
      <xdr:rowOff>50800</xdr:rowOff>
    </xdr:from>
    <xdr:to>
      <xdr:col>18</xdr:col>
      <xdr:colOff>241300</xdr:colOff>
      <xdr:row>18</xdr:row>
      <xdr:rowOff>88900</xdr:rowOff>
    </xdr:to>
    <xdr:sp macro="" textlink="">
      <xdr:nvSpPr>
        <xdr:cNvPr id="68" name="TextBox 67">
          <a:extLst>
            <a:ext uri="{FF2B5EF4-FFF2-40B4-BE49-F238E27FC236}">
              <a16:creationId xmlns:a16="http://schemas.microsoft.com/office/drawing/2014/main" id="{65A0CF22-A95F-4071-8EE4-5C4980BF2145}"/>
            </a:ext>
          </a:extLst>
        </xdr:cNvPr>
        <xdr:cNvSpPr txBox="1"/>
      </xdr:nvSpPr>
      <xdr:spPr>
        <a:xfrm>
          <a:off x="10363200" y="3181350"/>
          <a:ext cx="8509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accent2">
                  <a:lumMod val="50000"/>
                </a:schemeClr>
              </a:solidFill>
              <a:latin typeface="Calibri" panose="020F0502020204030204" pitchFamily="34" charset="0"/>
              <a:cs typeface="Calibri" panose="020F0502020204030204" pitchFamily="34" charset="0"/>
            </a:rPr>
            <a:t>Departme</a:t>
          </a:r>
          <a:r>
            <a:rPr lang="en-IN" sz="900" b="1">
              <a:solidFill>
                <a:schemeClr val="accent2">
                  <a:lumMod val="75000"/>
                </a:schemeClr>
              </a:solidFill>
              <a:latin typeface="Calibri" panose="020F0502020204030204" pitchFamily="34" charset="0"/>
              <a:cs typeface="Calibri" panose="020F0502020204030204" pitchFamily="34" charset="0"/>
            </a:rPr>
            <a:t>nt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504825</xdr:colOff>
      <xdr:row>2</xdr:row>
      <xdr:rowOff>25400</xdr:rowOff>
    </xdr:from>
    <xdr:to>
      <xdr:col>7</xdr:col>
      <xdr:colOff>463550</xdr:colOff>
      <xdr:row>10</xdr:row>
      <xdr:rowOff>12700</xdr:rowOff>
    </xdr:to>
    <xdr:graphicFrame macro="">
      <xdr:nvGraphicFramePr>
        <xdr:cNvPr id="2" name="Chart 1">
          <a:extLst>
            <a:ext uri="{FF2B5EF4-FFF2-40B4-BE49-F238E27FC236}">
              <a16:creationId xmlns:a16="http://schemas.microsoft.com/office/drawing/2014/main" id="{662DE6B7-7028-1D58-043B-DA8253AA7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298450</xdr:colOff>
      <xdr:row>2</xdr:row>
      <xdr:rowOff>6350</xdr:rowOff>
    </xdr:from>
    <xdr:to>
      <xdr:col>11</xdr:col>
      <xdr:colOff>298450</xdr:colOff>
      <xdr:row>7</xdr:row>
      <xdr:rowOff>63500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AD06C45F-5165-E02E-DC7C-C87AEEB3B15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184900" y="374650"/>
              <a:ext cx="1828800" cy="97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1082675</xdr:colOff>
      <xdr:row>18</xdr:row>
      <xdr:rowOff>69850</xdr:rowOff>
    </xdr:from>
    <xdr:to>
      <xdr:col>3</xdr:col>
      <xdr:colOff>368300</xdr:colOff>
      <xdr:row>21</xdr:row>
      <xdr:rowOff>12700</xdr:rowOff>
    </xdr:to>
    <xdr:graphicFrame macro="">
      <xdr:nvGraphicFramePr>
        <xdr:cNvPr id="4" name="Chart 3">
          <a:extLst>
            <a:ext uri="{FF2B5EF4-FFF2-40B4-BE49-F238E27FC236}">
              <a16:creationId xmlns:a16="http://schemas.microsoft.com/office/drawing/2014/main" id="{22DDB92A-9466-FF96-5CE4-C3202BF22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488950</xdr:colOff>
      <xdr:row>10</xdr:row>
      <xdr:rowOff>44450</xdr:rowOff>
    </xdr:from>
    <xdr:to>
      <xdr:col>10</xdr:col>
      <xdr:colOff>488950</xdr:colOff>
      <xdr:row>21</xdr:row>
      <xdr:rowOff>152400</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6EF5B375-FEAE-3375-D825-E8BC1C6229E4}"/>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765800" y="1885950"/>
              <a:ext cx="1828800"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107950</xdr:colOff>
      <xdr:row>4</xdr:row>
      <xdr:rowOff>69850</xdr:rowOff>
    </xdr:from>
    <xdr:to>
      <xdr:col>10</xdr:col>
      <xdr:colOff>107950</xdr:colOff>
      <xdr:row>9</xdr:row>
      <xdr:rowOff>146050</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9126E9BE-871D-8A6E-ACA3-822076AA8AA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575300" y="806450"/>
              <a:ext cx="1828800" cy="99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333375</xdr:colOff>
      <xdr:row>8</xdr:row>
      <xdr:rowOff>57150</xdr:rowOff>
    </xdr:from>
    <xdr:to>
      <xdr:col>6</xdr:col>
      <xdr:colOff>539750</xdr:colOff>
      <xdr:row>16</xdr:row>
      <xdr:rowOff>177800</xdr:rowOff>
    </xdr:to>
    <xdr:graphicFrame macro="">
      <xdr:nvGraphicFramePr>
        <xdr:cNvPr id="3" name="Chart 2">
          <a:extLst>
            <a:ext uri="{FF2B5EF4-FFF2-40B4-BE49-F238E27FC236}">
              <a16:creationId xmlns:a16="http://schemas.microsoft.com/office/drawing/2014/main" id="{F209F22C-0A54-5EB3-7735-F89EA9ED3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292100</xdr:colOff>
      <xdr:row>1</xdr:row>
      <xdr:rowOff>177800</xdr:rowOff>
    </xdr:from>
    <xdr:to>
      <xdr:col>8</xdr:col>
      <xdr:colOff>323850</xdr:colOff>
      <xdr:row>15</xdr:row>
      <xdr:rowOff>31750</xdr:rowOff>
    </xdr:to>
    <xdr:graphicFrame macro="">
      <xdr:nvGraphicFramePr>
        <xdr:cNvPr id="2" name="Chart 1">
          <a:extLst>
            <a:ext uri="{FF2B5EF4-FFF2-40B4-BE49-F238E27FC236}">
              <a16:creationId xmlns:a16="http://schemas.microsoft.com/office/drawing/2014/main" id="{C37B87DE-5E51-E3FD-4D80-0C7A82045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219075</xdr:colOff>
      <xdr:row>2</xdr:row>
      <xdr:rowOff>19050</xdr:rowOff>
    </xdr:from>
    <xdr:to>
      <xdr:col>11</xdr:col>
      <xdr:colOff>120650</xdr:colOff>
      <xdr:row>14</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95E90EB-BABD-1A2F-510B-DB24278FE5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13475" y="387350"/>
              <a:ext cx="3559175" cy="2286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165100</xdr:colOff>
      <xdr:row>1</xdr:row>
      <xdr:rowOff>25400</xdr:rowOff>
    </xdr:from>
    <xdr:to>
      <xdr:col>6</xdr:col>
      <xdr:colOff>431800</xdr:colOff>
      <xdr:row>10</xdr:row>
      <xdr:rowOff>95250</xdr:rowOff>
    </xdr:to>
    <xdr:graphicFrame macro="">
      <xdr:nvGraphicFramePr>
        <xdr:cNvPr id="2" name="Chart 1">
          <a:extLst>
            <a:ext uri="{FF2B5EF4-FFF2-40B4-BE49-F238E27FC236}">
              <a16:creationId xmlns:a16="http://schemas.microsoft.com/office/drawing/2014/main" id="{A51264C1-9DCF-580D-542C-E2864D11D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361950</xdr:colOff>
      <xdr:row>2</xdr:row>
      <xdr:rowOff>0</xdr:rowOff>
    </xdr:from>
    <xdr:to>
      <xdr:col>8</xdr:col>
      <xdr:colOff>349250</xdr:colOff>
      <xdr:row>14</xdr:row>
      <xdr:rowOff>31750</xdr:rowOff>
    </xdr:to>
    <xdr:graphicFrame macro="">
      <xdr:nvGraphicFramePr>
        <xdr:cNvPr id="2" name="Chart 1">
          <a:extLst>
            <a:ext uri="{FF2B5EF4-FFF2-40B4-BE49-F238E27FC236}">
              <a16:creationId xmlns:a16="http://schemas.microsoft.com/office/drawing/2014/main" id="{099D7C2D-62BC-3363-69D9-F907750A9E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552450</xdr:colOff>
      <xdr:row>4</xdr:row>
      <xdr:rowOff>69850</xdr:rowOff>
    </xdr:from>
    <xdr:to>
      <xdr:col>14</xdr:col>
      <xdr:colOff>457200</xdr:colOff>
      <xdr:row>11</xdr:row>
      <xdr:rowOff>146050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1F57FA31-4C46-3140-DD97-CA0EF4A16DD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074150" y="806450"/>
              <a:ext cx="1123950" cy="1365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463550</xdr:colOff>
      <xdr:row>4</xdr:row>
      <xdr:rowOff>57150</xdr:rowOff>
    </xdr:from>
    <xdr:to>
      <xdr:col>12</xdr:col>
      <xdr:colOff>463550</xdr:colOff>
      <xdr:row>15</xdr:row>
      <xdr:rowOff>114300</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E96262FB-D0B2-F27A-BA22-F1DB569914EF}"/>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7156450" y="793750"/>
              <a:ext cx="1828800" cy="208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380999</xdr:colOff>
      <xdr:row>1</xdr:row>
      <xdr:rowOff>177800</xdr:rowOff>
    </xdr:from>
    <xdr:to>
      <xdr:col>11</xdr:col>
      <xdr:colOff>295274</xdr:colOff>
      <xdr:row>13</xdr:row>
      <xdr:rowOff>82550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40BDE04-C764-A010-0D1A-F44177EF03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06899" y="361950"/>
              <a:ext cx="3571875" cy="2114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7.986765856484" createdVersion="8" refreshedVersion="8" minRefreshableVersion="3" recordCount="1470" xr:uid="{1658EB0B-29C7-4624-BB20-DB9C1DA0A40D}">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72734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9C17A0-0992-48BC-B639-508B63F54A09}"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h="1"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23B2F3-848F-444E-B2E2-4516C0DD2C3D}"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0568D4-A2AD-4EC0-93A5-EF6A073FC2F8}"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156308-9C60-4C72-90CD-463F8AC10B44}" name="Educ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v="4"/>
    </i>
    <i>
      <x/>
    </i>
    <i>
      <x v="1"/>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5F37E2-224C-43F8-A1ED-7E1AD7921A04}"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228AAE-3F7A-4B7D-85A9-C7988625410F}"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AF058B-4034-48D7-AE46-88A337278612}"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4"/>
    </i>
    <i>
      <x v="1"/>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B48A4C-E97F-4088-899C-5A3E6DE5E410}"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CB4866C-19D9-4F8F-A84A-58312C2AEBC9}" sourceName="Gender">
  <pivotTables>
    <pivotTable tabId="5" name="Gender"/>
    <pivotTable tabId="10" name="Attrition by Age Group"/>
    <pivotTable tabId="7" name="Attrition by Job"/>
    <pivotTable tabId="8" name="Dept wise Attrition"/>
    <pivotTable tabId="6" name="Eduction by Attrition"/>
    <pivotTable tabId="2" name="KPI"/>
    <pivotTable tabId="11" name="Marital Status"/>
    <pivotTable tabId="4" name="Rating"/>
  </pivotTables>
  <data>
    <tabular pivotCacheId="157273461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5846636-2F3F-4377-A3D3-538D1C447FE3}" sourceName="Department">
  <pivotTables>
    <pivotTable tabId="10" name="Attrition by Age Group"/>
    <pivotTable tabId="7" name="Attrition by Job"/>
    <pivotTable tabId="8" name="Dept wise Attrition"/>
    <pivotTable tabId="6" name="Eduction by Attrition"/>
    <pivotTable tabId="5" name="Gender"/>
    <pivotTable tabId="2" name="KPI"/>
    <pivotTable tabId="11" name="Marital Status"/>
    <pivotTable tabId="4" name="Rating"/>
  </pivotTables>
  <data>
    <tabular pivotCacheId="157273461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B2AA8B78-FAC0-47E6-B39B-11F5FB5D5D24}" sourceName="Education Field">
  <pivotTables>
    <pivotTable tabId="10" name="Attrition by Age Group"/>
    <pivotTable tabId="7" name="Attrition by Job"/>
    <pivotTable tabId="8" name="Dept wise Attrition"/>
    <pivotTable tabId="6" name="Eduction by Attrition"/>
    <pivotTable tabId="5" name="Gender"/>
    <pivotTable tabId="2" name="KPI"/>
    <pivotTable tabId="11" name="Marital Status"/>
    <pivotTable tabId="4" name="Rating"/>
  </pivotTables>
  <data>
    <tabular pivotCacheId="157273461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478C295-C5F8-40E5-BD94-DF32AFA09B5B}" cache="Slicer_Gender2"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2C96532C-8790-4F06-9408-A5C127161B89}" cache="Slicer_Gender2" caption="Gender" columnCount="2" style="Slicer Style 1" rowHeight="251883"/>
  <slicer name="Department 1" xr10:uid="{D56A8265-37F0-4B54-8D14-F8DD7EC0C632}" cache="Slicer_Department" style="Slicer Style 1" rowHeight="251883"/>
  <slicer name="Education Field 2" xr10:uid="{A54925AF-2077-4123-9374-D657AFD78DDD}" cache="Slicer_Education_Field1" startItem="3" style="Slicer Style 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499A22C-CD52-46CE-845A-EB55A36FE636}" cache="Slicer_Gender2" caption="Gender" rowHeight="251883"/>
  <slicer name="Education Field" xr10:uid="{88D2ADE4-C79C-4549-A317-C1F517A91B03}" cache="Slicer_Education_Field1"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DF19B3B4-9E60-4195-8FEA-2D01306C72CE}" cache="Slicer_Gender2" caption="Gender"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ABBC886-EBE8-443F-9B10-6B1F5ED2E6B4}" cache="Slicer_Department" caption="Department" rowHeight="251883"/>
  <slicer name="Education Field 1" xr10:uid="{69AD5E01-E482-4187-AFE2-033101B19E65}" cache="Slicer_Education_Field1" caption="Education Field"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3A8F9F-E855-484D-8072-0B82DF89675D}" name="Table_1" displayName="Table_1" ref="A1:AR1471">
  <tableColumns count="44">
    <tableColumn id="1" xr3:uid="{9295E6C1-200A-40BD-ADCD-92899AF82CB3}" name="Attrition"/>
    <tableColumn id="2" xr3:uid="{7354C1CE-2CCA-4DC7-91F5-178083551F1D}" name="Business Travel"/>
    <tableColumn id="3" xr3:uid="{8F748FE4-EC6B-4F88-9DFD-8CB8BA7057E3}" name="CF_age band"/>
    <tableColumn id="4" xr3:uid="{06FA9FF8-AD9F-4C65-BA9F-287FC55CD6CF}" name="CF_attrition label"/>
    <tableColumn id="5" xr3:uid="{03CAB16E-010B-442C-B4E8-340EA134ACC7}" name="Department"/>
    <tableColumn id="6" xr3:uid="{ECEA016C-E20F-46B4-A2CF-94F5597EA345}" name="Education Field"/>
    <tableColumn id="7" xr3:uid="{412282E7-1B94-4D76-A3CB-8CC8EB4D1943}" name="emp no"/>
    <tableColumn id="8" xr3:uid="{68BF104A-8BF8-4405-A330-DBDA8345EC7B}" name="Employee Number"/>
    <tableColumn id="9" xr3:uid="{2B3D63DC-6093-4949-9CA3-ECE9E7E2B87F}" name="Gender"/>
    <tableColumn id="10" xr3:uid="{67775D57-3571-46D3-87B1-D526AC4AC914}" name="Job Role"/>
    <tableColumn id="11" xr3:uid="{302E9C67-F82E-4693-BE12-62407A2E7652}" name="Marital Status"/>
    <tableColumn id="12" xr3:uid="{81F997C4-0382-4F52-A6BA-B5B84F9A8D48}" name="Over Time"/>
    <tableColumn id="13" xr3:uid="{8E55A47B-D6F7-44D9-8D08-AF3110E1354B}" name="Over18"/>
    <tableColumn id="14" xr3:uid="{8F721AEA-CF3A-45D4-9C86-AB3B3CE8B1A7}" name="Training Times Last Year"/>
    <tableColumn id="15" xr3:uid="{8AE831D2-58FE-4356-8D04-21E1EA8538A1}" name="-2"/>
    <tableColumn id="16" xr3:uid="{486F5108-9DFC-449D-8F7D-0B8CD61FAF6C}" name="0"/>
    <tableColumn id="17" xr3:uid="{1B9B931F-A65C-41B4-9663-B07E297EA29B}" name="Age"/>
    <tableColumn id="18" xr3:uid="{8887A388-60A5-43BD-8452-88FC7A9AD6F5}" name="CF_attrition count"/>
    <tableColumn id="19" xr3:uid="{DCD09774-1F8F-4E42-879A-AA19183D5E1B}" name="CF_attrition counts"/>
    <tableColumn id="20" xr3:uid="{EC3CF631-DF50-4FEE-A878-9588729EF642}" name="CF_attrition rate"/>
    <tableColumn id="21" xr3:uid="{4267B468-1612-4DD0-BA31-CD3ED85CB8FB}" name="CF_current Employee"/>
    <tableColumn id="22" xr3:uid="{2679A0F8-DD53-4A25-A59F-A8B4AA5A368F}" name="Daily Rate"/>
    <tableColumn id="23" xr3:uid="{F0F01E46-E170-4068-BBCD-20046904FBF3}" name="Distance From Home"/>
    <tableColumn id="24" xr3:uid="{54034FAE-FF02-4EA7-9F84-E7CEF4EBC40F}" name="Education"/>
    <tableColumn id="25" xr3:uid="{325653B4-28B8-4770-B6C6-946811C7CD83}" name="Employee Count"/>
    <tableColumn id="26" xr3:uid="{758EE5CE-2D38-445D-A800-B8FE84F8E3A5}" name="Environment Satisfaction"/>
    <tableColumn id="27" xr3:uid="{F6EEC546-D634-434E-BB74-69CFABDF24AB}" name="Hourly Rate"/>
    <tableColumn id="28" xr3:uid="{0AA69A8A-D00B-4ECC-B304-74F8109AB31E}" name="Job Involvement"/>
    <tableColumn id="29" xr3:uid="{EFC31A11-1706-4B03-80A8-42A800A72C0C}" name="Job Level"/>
    <tableColumn id="30" xr3:uid="{BDF56FE3-D51D-47FE-BCB3-0087D3AE336B}" name="Job Satisfaction"/>
    <tableColumn id="31" xr3:uid="{726C23C7-04E1-4B4C-9DA0-5B99E53684CE}" name="Monthly Income"/>
    <tableColumn id="32" xr3:uid="{ADF7730D-42B1-4933-A3E6-BA061B390E32}" name="Monthly Rate"/>
    <tableColumn id="33" xr3:uid="{51553F03-4FA9-4B7D-912E-92C8FFA6DC7A}" name="Num Companies Worked"/>
    <tableColumn id="34" xr3:uid="{F3DFE356-CC7A-494B-AAA4-9AC887C3225D}" name="Percent Salary Hike"/>
    <tableColumn id="35" xr3:uid="{11B0126D-D9DB-4448-B0AA-A2D6C8533BB2}" name="Performance Rating"/>
    <tableColumn id="36" xr3:uid="{D323F15B-6739-4BB9-8B51-E599F6FC76D4}" name="Relationship Satisfaction"/>
    <tableColumn id="37" xr3:uid="{47402CF1-5A75-4918-9057-0C6785A9BBA6}" name="Standard Hours"/>
    <tableColumn id="38" xr3:uid="{A04FE888-8066-45EE-A82C-EB7DD98183C2}" name="Stock Option Level"/>
    <tableColumn id="39" xr3:uid="{F8DA3A14-3660-4780-9B33-E2B5284D140F}" name="Total Working Years"/>
    <tableColumn id="40" xr3:uid="{73496BF6-10E4-403F-A23E-FE8DCB787E53}" name="Work Life Balance"/>
    <tableColumn id="41" xr3:uid="{0EC5230D-51DF-4A47-895C-345631DF9CCB}" name="Years At Company"/>
    <tableColumn id="42" xr3:uid="{D2FC407E-6BE9-490C-B135-8F64A58AA717}" name="Years In Current Role"/>
    <tableColumn id="43" xr3:uid="{AFB030A0-3BD3-4728-A8C9-55A516C99A84}" name="Years Since Last Promotion"/>
    <tableColumn id="44" xr3:uid="{D65F0EE5-58FE-4F07-A854-E0DB440883BB}" name="Years With Curr Manager"/>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610A5-A63B-4507-9AB1-4A695C48ED70}">
  <dimension ref="A3:E8"/>
  <sheetViews>
    <sheetView workbookViewId="0">
      <selection activeCell="C8" sqref="C8"/>
    </sheetView>
  </sheetViews>
  <sheetFormatPr defaultRowHeight="14.5" x14ac:dyDescent="0.35"/>
  <cols>
    <col min="1" max="1" width="23.81640625" bestFit="1" customWidth="1"/>
    <col min="2" max="2" width="22.26953125" bestFit="1" customWidth="1"/>
    <col min="3" max="3" width="12.7265625" bestFit="1" customWidth="1"/>
    <col min="4" max="4" width="15.6328125" customWidth="1"/>
    <col min="5" max="5" width="12.26953125" customWidth="1"/>
  </cols>
  <sheetData>
    <row r="3" spans="1:5" x14ac:dyDescent="0.35">
      <c r="A3" t="s">
        <v>1554</v>
      </c>
      <c r="B3" t="s">
        <v>1555</v>
      </c>
      <c r="C3" t="s">
        <v>1556</v>
      </c>
    </row>
    <row r="4" spans="1:5" x14ac:dyDescent="0.35">
      <c r="A4" s="10">
        <v>588</v>
      </c>
      <c r="B4" s="10">
        <v>87</v>
      </c>
      <c r="C4" s="10">
        <v>37.329931972789119</v>
      </c>
    </row>
    <row r="7" spans="1:5" x14ac:dyDescent="0.35">
      <c r="A7" t="s">
        <v>1557</v>
      </c>
      <c r="B7" t="s">
        <v>1558</v>
      </c>
      <c r="C7" t="s">
        <v>1559</v>
      </c>
      <c r="D7" t="s">
        <v>1560</v>
      </c>
      <c r="E7" t="s">
        <v>1561</v>
      </c>
    </row>
    <row r="8" spans="1:5" x14ac:dyDescent="0.35">
      <c r="A8">
        <f>GETPIVOTDATA("Count of Employee Number",$A$3)</f>
        <v>588</v>
      </c>
      <c r="B8">
        <f>GETPIVOTDATA("Sum of CF_attrition count",$A$3)</f>
        <v>87</v>
      </c>
      <c r="C8" s="3">
        <f>GETPIVOTDATA("Average of Age",$A$3)</f>
        <v>37.329931972789119</v>
      </c>
      <c r="D8">
        <f>A8-B8</f>
        <v>501</v>
      </c>
      <c r="E8" s="2">
        <f>B8/A8</f>
        <v>0.14795918367346939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72CCA-2052-4C00-81BC-B186261CFC3F}">
  <dimension ref="A1"/>
  <sheetViews>
    <sheetView showGridLines="0" tabSelected="1" workbookViewId="0">
      <selection activeCell="A13" sqref="A13"/>
    </sheetView>
  </sheetViews>
  <sheetFormatPr defaultRowHeight="14.5" x14ac:dyDescent="0.35"/>
  <cols>
    <col min="1" max="16384" width="8.726562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64FAC-5D5B-4318-A71D-3175A6794D97}">
  <dimension ref="A3:C7"/>
  <sheetViews>
    <sheetView workbookViewId="0">
      <selection activeCell="F20" sqref="F20"/>
    </sheetView>
  </sheetViews>
  <sheetFormatPr defaultRowHeight="14.5" x14ac:dyDescent="0.35"/>
  <cols>
    <col min="1" max="1" width="23.1796875" bestFit="1" customWidth="1"/>
  </cols>
  <sheetData>
    <row r="3" spans="1:3" x14ac:dyDescent="0.35">
      <c r="A3" t="s">
        <v>1562</v>
      </c>
    </row>
    <row r="4" spans="1:3" x14ac:dyDescent="0.35">
      <c r="A4" s="5">
        <v>2.5867346938775508</v>
      </c>
    </row>
    <row r="6" spans="1:3" x14ac:dyDescent="0.35">
      <c r="A6" t="s">
        <v>1563</v>
      </c>
      <c r="B6" s="5">
        <f>GETPIVOTDATA("Job Satisfaction",$A$3)</f>
        <v>2.5867346938775508</v>
      </c>
      <c r="C6">
        <f>B6/4</f>
        <v>0.64668367346938771</v>
      </c>
    </row>
    <row r="7" spans="1:3" x14ac:dyDescent="0.35">
      <c r="A7" t="s">
        <v>1564</v>
      </c>
      <c r="B7" s="5">
        <f>4-B6</f>
        <v>1.4132653061224492</v>
      </c>
      <c r="C7">
        <f>B7/4</f>
        <v>0.35331632653061229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DE258-8FDB-46E0-87B5-8A679DB7BF55}">
  <dimension ref="A3:C10"/>
  <sheetViews>
    <sheetView workbookViewId="0">
      <selection activeCell="C22" sqref="C22"/>
    </sheetView>
  </sheetViews>
  <sheetFormatPr defaultRowHeight="14.5" x14ac:dyDescent="0.35"/>
  <cols>
    <col min="1" max="1" width="12.453125" bestFit="1" customWidth="1"/>
    <col min="2" max="2" width="22.1796875" bestFit="1" customWidth="1"/>
  </cols>
  <sheetData>
    <row r="3" spans="1:3" x14ac:dyDescent="0.35">
      <c r="A3" s="6" t="s">
        <v>1565</v>
      </c>
      <c r="B3" t="s">
        <v>1567</v>
      </c>
    </row>
    <row r="4" spans="1:3" x14ac:dyDescent="0.35">
      <c r="A4" s="7" t="s">
        <v>51</v>
      </c>
      <c r="B4" s="10">
        <v>588</v>
      </c>
    </row>
    <row r="5" spans="1:3" x14ac:dyDescent="0.35">
      <c r="A5" s="7" t="s">
        <v>1566</v>
      </c>
      <c r="B5" s="10">
        <v>588</v>
      </c>
    </row>
    <row r="9" spans="1:3" x14ac:dyDescent="0.35">
      <c r="A9" s="7" t="s">
        <v>51</v>
      </c>
      <c r="B9">
        <f>IFERROR(GETPIVOTDATA("Employee Count",$A$3,"Gender","Female"),0)</f>
        <v>588</v>
      </c>
      <c r="C9" s="8">
        <f>IFERROR(B9/($B$9+$B$10),0)</f>
        <v>1</v>
      </c>
    </row>
    <row r="10" spans="1:3" x14ac:dyDescent="0.35">
      <c r="A10" s="7" t="s">
        <v>62</v>
      </c>
      <c r="B10">
        <f>IFERROR(GETPIVOTDATA("Employee Count",$A$3,"Gender","Male"),0)</f>
        <v>0</v>
      </c>
      <c r="C10" s="8">
        <f>IFERROR(B10/($B$9+$B$10),0)</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BC1A0-8EED-480D-A0C4-A09C8F170072}">
  <dimension ref="A3:B9"/>
  <sheetViews>
    <sheetView workbookViewId="0">
      <selection activeCell="I19" sqref="I19"/>
    </sheetView>
  </sheetViews>
  <sheetFormatPr defaultRowHeight="14.5" x14ac:dyDescent="0.35"/>
  <cols>
    <col min="1" max="1" width="16" bestFit="1" customWidth="1"/>
    <col min="2" max="2" width="22.26953125" bestFit="1" customWidth="1"/>
  </cols>
  <sheetData>
    <row r="3" spans="1:2" x14ac:dyDescent="0.35">
      <c r="A3" s="6" t="s">
        <v>1565</v>
      </c>
      <c r="B3" t="s">
        <v>1555</v>
      </c>
    </row>
    <row r="4" spans="1:2" x14ac:dyDescent="0.35">
      <c r="A4" s="7" t="s">
        <v>134</v>
      </c>
      <c r="B4" s="10">
        <v>3</v>
      </c>
    </row>
    <row r="5" spans="1:2" x14ac:dyDescent="0.35">
      <c r="A5" s="7" t="s">
        <v>65</v>
      </c>
      <c r="B5" s="10">
        <v>11</v>
      </c>
    </row>
    <row r="6" spans="1:2" x14ac:dyDescent="0.35">
      <c r="A6" s="7" t="s">
        <v>71</v>
      </c>
      <c r="B6" s="10">
        <v>16</v>
      </c>
    </row>
    <row r="7" spans="1:2" x14ac:dyDescent="0.35">
      <c r="A7" s="7" t="s">
        <v>55</v>
      </c>
      <c r="B7" s="10">
        <v>19</v>
      </c>
    </row>
    <row r="8" spans="1:2" x14ac:dyDescent="0.35">
      <c r="A8" s="7" t="s">
        <v>77</v>
      </c>
      <c r="B8" s="10">
        <v>38</v>
      </c>
    </row>
    <row r="9" spans="1:2" x14ac:dyDescent="0.35">
      <c r="A9" s="7" t="s">
        <v>1566</v>
      </c>
      <c r="B9" s="10">
        <v>87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85FD9-0F9B-442A-B5FC-50DE77C2B75A}">
  <dimension ref="A3:E13"/>
  <sheetViews>
    <sheetView workbookViewId="0">
      <selection activeCell="D4" sqref="D4:E12"/>
    </sheetView>
  </sheetViews>
  <sheetFormatPr defaultRowHeight="14.5" x14ac:dyDescent="0.35"/>
  <cols>
    <col min="1" max="1" width="22.6328125" bestFit="1" customWidth="1"/>
    <col min="2" max="2" width="22.26953125" bestFit="1" customWidth="1"/>
    <col min="4" max="4" width="23.453125" customWidth="1"/>
  </cols>
  <sheetData>
    <row r="3" spans="1:5" x14ac:dyDescent="0.35">
      <c r="A3" s="6" t="s">
        <v>1565</v>
      </c>
      <c r="B3" t="s">
        <v>1555</v>
      </c>
      <c r="D3" t="s">
        <v>1568</v>
      </c>
      <c r="E3" t="s">
        <v>0</v>
      </c>
    </row>
    <row r="4" spans="1:5" x14ac:dyDescent="0.35">
      <c r="A4" s="7" t="s">
        <v>83</v>
      </c>
      <c r="B4" s="10">
        <v>5</v>
      </c>
      <c r="D4" t="str">
        <f>A4</f>
        <v>Healthcare Representative</v>
      </c>
      <c r="E4">
        <f>GETPIVOTDATA("CF_attrition count",$A$3,"Job Role",A4)</f>
        <v>5</v>
      </c>
    </row>
    <row r="5" spans="1:5" x14ac:dyDescent="0.35">
      <c r="A5" s="7" t="s">
        <v>163</v>
      </c>
      <c r="B5" s="10">
        <v>6</v>
      </c>
      <c r="D5" t="str">
        <f t="shared" ref="D5:D12" si="0">A5</f>
        <v>Human Resources</v>
      </c>
      <c r="E5">
        <f t="shared" ref="E5:E12" si="1">GETPIVOTDATA("CF_attrition count",$A$3,"Job Role",A5)</f>
        <v>6</v>
      </c>
    </row>
    <row r="6" spans="1:5" x14ac:dyDescent="0.35">
      <c r="A6" s="7" t="s">
        <v>68</v>
      </c>
      <c r="B6" s="10">
        <v>16</v>
      </c>
      <c r="D6" t="str">
        <f t="shared" si="0"/>
        <v>Laboratory Technician</v>
      </c>
      <c r="E6">
        <f t="shared" si="1"/>
        <v>16</v>
      </c>
    </row>
    <row r="7" spans="1:5" x14ac:dyDescent="0.35">
      <c r="A7" s="7" t="s">
        <v>95</v>
      </c>
      <c r="B7" s="10">
        <v>2</v>
      </c>
      <c r="D7" t="str">
        <f t="shared" si="0"/>
        <v>Manager</v>
      </c>
      <c r="E7">
        <f t="shared" si="1"/>
        <v>2</v>
      </c>
    </row>
    <row r="8" spans="1:5" x14ac:dyDescent="0.35">
      <c r="A8" s="7" t="s">
        <v>81</v>
      </c>
      <c r="B8" s="10">
        <v>4</v>
      </c>
      <c r="D8" t="str">
        <f t="shared" si="0"/>
        <v>Manufacturing Director</v>
      </c>
      <c r="E8">
        <f t="shared" si="1"/>
        <v>4</v>
      </c>
    </row>
    <row r="9" spans="1:5" x14ac:dyDescent="0.35">
      <c r="A9" s="7" t="s">
        <v>101</v>
      </c>
      <c r="B9" s="10">
        <v>1</v>
      </c>
      <c r="D9" t="str">
        <f t="shared" si="0"/>
        <v>Research Director</v>
      </c>
      <c r="E9">
        <f t="shared" si="1"/>
        <v>1</v>
      </c>
    </row>
    <row r="10" spans="1:5" x14ac:dyDescent="0.35">
      <c r="A10" s="7" t="s">
        <v>63</v>
      </c>
      <c r="B10" s="10">
        <v>17</v>
      </c>
      <c r="D10" t="str">
        <f t="shared" si="0"/>
        <v>Research Scientist</v>
      </c>
      <c r="E10">
        <f t="shared" si="1"/>
        <v>17</v>
      </c>
    </row>
    <row r="11" spans="1:5" x14ac:dyDescent="0.35">
      <c r="A11" s="7" t="s">
        <v>52</v>
      </c>
      <c r="B11" s="10">
        <v>20</v>
      </c>
      <c r="D11" t="str">
        <f t="shared" si="0"/>
        <v>Sales Executive</v>
      </c>
      <c r="E11">
        <f t="shared" si="1"/>
        <v>20</v>
      </c>
    </row>
    <row r="12" spans="1:5" x14ac:dyDescent="0.35">
      <c r="A12" s="7" t="s">
        <v>99</v>
      </c>
      <c r="B12" s="10">
        <v>16</v>
      </c>
      <c r="D12" t="str">
        <f t="shared" si="0"/>
        <v>Sales Representative</v>
      </c>
      <c r="E12">
        <f t="shared" si="1"/>
        <v>16</v>
      </c>
    </row>
    <row r="13" spans="1:5" x14ac:dyDescent="0.35">
      <c r="A13" s="7" t="s">
        <v>1566</v>
      </c>
      <c r="B13" s="10">
        <v>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EE8D1-9B92-4D9D-8A1E-5768C1E97304}">
  <dimension ref="A3:B7"/>
  <sheetViews>
    <sheetView workbookViewId="0">
      <selection activeCell="B4" sqref="B4"/>
    </sheetView>
  </sheetViews>
  <sheetFormatPr defaultRowHeight="14.5" x14ac:dyDescent="0.35"/>
  <cols>
    <col min="1" max="1" width="12.453125" bestFit="1" customWidth="1"/>
    <col min="2" max="2" width="22.26953125" bestFit="1" customWidth="1"/>
  </cols>
  <sheetData>
    <row r="3" spans="1:2" x14ac:dyDescent="0.35">
      <c r="A3" s="6" t="s">
        <v>1565</v>
      </c>
      <c r="B3" t="s">
        <v>1555</v>
      </c>
    </row>
    <row r="4" spans="1:2" x14ac:dyDescent="0.35">
      <c r="A4" s="7" t="s">
        <v>161</v>
      </c>
      <c r="B4" s="9">
        <v>6.8965517241379309E-2</v>
      </c>
    </row>
    <row r="5" spans="1:2" x14ac:dyDescent="0.35">
      <c r="A5" s="7" t="s">
        <v>60</v>
      </c>
      <c r="B5" s="9">
        <v>0.4942528735632184</v>
      </c>
    </row>
    <row r="6" spans="1:2" x14ac:dyDescent="0.35">
      <c r="A6" s="7" t="s">
        <v>48</v>
      </c>
      <c r="B6" s="9">
        <v>0.43678160919540232</v>
      </c>
    </row>
    <row r="7" spans="1:2" x14ac:dyDescent="0.35">
      <c r="A7" s="7" t="s">
        <v>1566</v>
      </c>
      <c r="B7" s="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EF764-1C46-4D0C-BFA8-15945BF482E8}">
  <dimension ref="A3:B9"/>
  <sheetViews>
    <sheetView workbookViewId="0">
      <selection activeCell="P9" sqref="P9"/>
    </sheetView>
  </sheetViews>
  <sheetFormatPr defaultRowHeight="14.5" x14ac:dyDescent="0.35"/>
  <cols>
    <col min="1" max="1" width="12.453125" bestFit="1" customWidth="1"/>
    <col min="2" max="2" width="22.26953125" bestFit="1" customWidth="1"/>
  </cols>
  <sheetData>
    <row r="3" spans="1:2" x14ac:dyDescent="0.35">
      <c r="A3" s="6" t="s">
        <v>1565</v>
      </c>
      <c r="B3" t="s">
        <v>1555</v>
      </c>
    </row>
    <row r="4" spans="1:2" x14ac:dyDescent="0.35">
      <c r="A4" s="7" t="s">
        <v>69</v>
      </c>
      <c r="B4" s="10">
        <v>43</v>
      </c>
    </row>
    <row r="5" spans="1:2" x14ac:dyDescent="0.35">
      <c r="A5" s="7" t="s">
        <v>92</v>
      </c>
      <c r="B5" s="10">
        <v>18</v>
      </c>
    </row>
    <row r="6" spans="1:2" x14ac:dyDescent="0.35">
      <c r="A6" s="7" t="s">
        <v>46</v>
      </c>
      <c r="B6" s="10">
        <v>14</v>
      </c>
    </row>
    <row r="7" spans="1:2" x14ac:dyDescent="0.35">
      <c r="A7" s="7" t="s">
        <v>58</v>
      </c>
      <c r="B7" s="10">
        <v>9</v>
      </c>
    </row>
    <row r="8" spans="1:2" x14ac:dyDescent="0.35">
      <c r="A8" s="7" t="s">
        <v>75</v>
      </c>
      <c r="B8" s="10">
        <v>3</v>
      </c>
    </row>
    <row r="9" spans="1:2" x14ac:dyDescent="0.35">
      <c r="A9" s="7" t="s">
        <v>1566</v>
      </c>
      <c r="B9" s="10">
        <v>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1D78-9F28-4305-AD0E-1FCCB48CFF83}">
  <dimension ref="A3:E7"/>
  <sheetViews>
    <sheetView workbookViewId="0">
      <selection activeCell="B5" sqref="B5"/>
    </sheetView>
  </sheetViews>
  <sheetFormatPr defaultRowHeight="14.5" x14ac:dyDescent="0.35"/>
  <cols>
    <col min="1" max="1" width="12.453125" bestFit="1" customWidth="1"/>
    <col min="2" max="2" width="15.1796875" bestFit="1" customWidth="1"/>
    <col min="4" max="4" width="12.54296875" customWidth="1"/>
  </cols>
  <sheetData>
    <row r="3" spans="1:5" x14ac:dyDescent="0.35">
      <c r="A3" s="6" t="s">
        <v>1565</v>
      </c>
      <c r="B3" t="s">
        <v>1569</v>
      </c>
      <c r="D3" t="s">
        <v>1570</v>
      </c>
      <c r="E3" t="s">
        <v>0</v>
      </c>
    </row>
    <row r="4" spans="1:5" x14ac:dyDescent="0.35">
      <c r="A4" s="7" t="s">
        <v>79</v>
      </c>
      <c r="B4" s="10">
        <v>117</v>
      </c>
      <c r="D4" t="str">
        <f>A4</f>
        <v>Divorced</v>
      </c>
      <c r="E4">
        <f>GETPIVOTDATA("Attrition",$A$3,"Marital Status",A4)</f>
        <v>117</v>
      </c>
    </row>
    <row r="5" spans="1:5" x14ac:dyDescent="0.35">
      <c r="A5" s="7" t="s">
        <v>53</v>
      </c>
      <c r="B5" s="10">
        <v>199</v>
      </c>
      <c r="D5" t="str">
        <f>A5</f>
        <v>Single</v>
      </c>
      <c r="E5">
        <f>GETPIVOTDATA("Attrition",$A$3,"Marital Status",A5)</f>
        <v>199</v>
      </c>
    </row>
    <row r="6" spans="1:5" x14ac:dyDescent="0.35">
      <c r="A6" s="7" t="s">
        <v>64</v>
      </c>
      <c r="B6" s="10">
        <v>272</v>
      </c>
      <c r="D6" t="str">
        <f>A6</f>
        <v>Married</v>
      </c>
      <c r="E6">
        <f>GETPIVOTDATA("Attrition",$A$3,"Marital Status",A6)</f>
        <v>272</v>
      </c>
    </row>
    <row r="7" spans="1:5" x14ac:dyDescent="0.35">
      <c r="A7" s="7" t="s">
        <v>1566</v>
      </c>
      <c r="B7" s="10">
        <v>588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607-2A26-49BD-9CF9-43FCC915EC90}">
  <dimension ref="A1:AR1471"/>
  <sheetViews>
    <sheetView topLeftCell="A2" workbookViewId="0">
      <selection activeCell="A2" sqref="A2"/>
    </sheetView>
  </sheetViews>
  <sheetFormatPr defaultRowHeight="14.5" x14ac:dyDescent="0.35"/>
  <sheetData>
    <row r="1" spans="1:44" ht="16"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6" x14ac:dyDescent="0.4">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6" x14ac:dyDescent="0.4">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6" x14ac:dyDescent="0.4">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6" x14ac:dyDescent="0.4">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6" x14ac:dyDescent="0.4">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6" x14ac:dyDescent="0.4">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6" x14ac:dyDescent="0.4">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6" x14ac:dyDescent="0.4">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6" x14ac:dyDescent="0.4">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6" x14ac:dyDescent="0.4">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6" x14ac:dyDescent="0.4">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6" x14ac:dyDescent="0.4">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6" x14ac:dyDescent="0.4">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6" x14ac:dyDescent="0.4">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6" x14ac:dyDescent="0.4">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6" x14ac:dyDescent="0.4">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6" x14ac:dyDescent="0.4">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6" x14ac:dyDescent="0.4">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6" x14ac:dyDescent="0.4">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6" x14ac:dyDescent="0.4">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6" x14ac:dyDescent="0.4">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6" x14ac:dyDescent="0.4">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6" x14ac:dyDescent="0.4">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6" x14ac:dyDescent="0.4">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6" x14ac:dyDescent="0.4">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6" x14ac:dyDescent="0.4">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6" x14ac:dyDescent="0.4">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6" x14ac:dyDescent="0.4">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6" x14ac:dyDescent="0.4">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6" x14ac:dyDescent="0.4">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6" x14ac:dyDescent="0.4">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6" x14ac:dyDescent="0.4">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6" x14ac:dyDescent="0.4">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6" x14ac:dyDescent="0.4">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6" x14ac:dyDescent="0.4">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6" x14ac:dyDescent="0.4">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6" x14ac:dyDescent="0.4">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6" x14ac:dyDescent="0.4">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6" x14ac:dyDescent="0.4">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6" x14ac:dyDescent="0.4">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6" x14ac:dyDescent="0.4">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6" x14ac:dyDescent="0.4">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6" x14ac:dyDescent="0.4">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6" x14ac:dyDescent="0.4">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6" x14ac:dyDescent="0.4">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6" x14ac:dyDescent="0.4">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6" x14ac:dyDescent="0.4">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6" x14ac:dyDescent="0.4">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6" x14ac:dyDescent="0.4">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6" x14ac:dyDescent="0.4">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6" x14ac:dyDescent="0.4">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6" x14ac:dyDescent="0.4">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6" x14ac:dyDescent="0.4">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6" x14ac:dyDescent="0.4">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6" x14ac:dyDescent="0.4">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6" x14ac:dyDescent="0.4">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6" x14ac:dyDescent="0.4">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6" x14ac:dyDescent="0.4">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6" x14ac:dyDescent="0.4">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6" x14ac:dyDescent="0.4">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6" x14ac:dyDescent="0.4">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6" x14ac:dyDescent="0.4">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6" x14ac:dyDescent="0.4">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6" x14ac:dyDescent="0.4">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6" x14ac:dyDescent="0.4">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6" x14ac:dyDescent="0.4">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6" x14ac:dyDescent="0.4">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6" x14ac:dyDescent="0.4">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6" x14ac:dyDescent="0.4">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6" x14ac:dyDescent="0.4">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6" x14ac:dyDescent="0.4">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6" x14ac:dyDescent="0.4">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6" x14ac:dyDescent="0.4">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6" x14ac:dyDescent="0.4">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6" x14ac:dyDescent="0.4">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6" x14ac:dyDescent="0.4">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6" x14ac:dyDescent="0.4">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6" x14ac:dyDescent="0.4">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6" x14ac:dyDescent="0.4">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6" x14ac:dyDescent="0.4">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6" x14ac:dyDescent="0.4">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6" x14ac:dyDescent="0.4">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6" x14ac:dyDescent="0.4">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6" x14ac:dyDescent="0.4">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6" x14ac:dyDescent="0.4">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6" x14ac:dyDescent="0.4">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6" x14ac:dyDescent="0.4">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6" x14ac:dyDescent="0.4">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6" x14ac:dyDescent="0.4">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6" x14ac:dyDescent="0.4">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6" x14ac:dyDescent="0.4">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6" x14ac:dyDescent="0.4">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6" x14ac:dyDescent="0.4">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6" x14ac:dyDescent="0.4">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6" x14ac:dyDescent="0.4">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6" x14ac:dyDescent="0.4">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6" x14ac:dyDescent="0.4">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6" x14ac:dyDescent="0.4">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6" x14ac:dyDescent="0.4">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6" x14ac:dyDescent="0.4">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6" x14ac:dyDescent="0.4">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6" x14ac:dyDescent="0.4">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6" x14ac:dyDescent="0.4">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6" x14ac:dyDescent="0.4">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6" x14ac:dyDescent="0.4">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6" x14ac:dyDescent="0.4">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6" x14ac:dyDescent="0.4">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6" x14ac:dyDescent="0.4">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6" x14ac:dyDescent="0.4">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6" x14ac:dyDescent="0.4">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6" x14ac:dyDescent="0.4">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6" x14ac:dyDescent="0.4">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6" x14ac:dyDescent="0.4">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6" x14ac:dyDescent="0.4">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6" x14ac:dyDescent="0.4">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6" x14ac:dyDescent="0.4">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6" x14ac:dyDescent="0.4">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6" x14ac:dyDescent="0.4">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6" x14ac:dyDescent="0.4">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6" x14ac:dyDescent="0.4">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6" x14ac:dyDescent="0.4">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6" x14ac:dyDescent="0.4">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6" x14ac:dyDescent="0.4">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6" x14ac:dyDescent="0.4">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6" x14ac:dyDescent="0.4">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6" x14ac:dyDescent="0.4">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6" x14ac:dyDescent="0.4">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6" x14ac:dyDescent="0.4">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6" x14ac:dyDescent="0.4">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6" x14ac:dyDescent="0.4">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6" x14ac:dyDescent="0.4">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6" x14ac:dyDescent="0.4">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6" x14ac:dyDescent="0.4">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6" x14ac:dyDescent="0.4">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6" x14ac:dyDescent="0.4">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6" x14ac:dyDescent="0.4">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6" x14ac:dyDescent="0.4">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6" x14ac:dyDescent="0.4">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6" x14ac:dyDescent="0.4">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6" x14ac:dyDescent="0.4">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6" x14ac:dyDescent="0.4">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6" x14ac:dyDescent="0.4">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6" x14ac:dyDescent="0.4">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6" x14ac:dyDescent="0.4">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6" x14ac:dyDescent="0.4">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6" x14ac:dyDescent="0.4">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6" x14ac:dyDescent="0.4">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6" x14ac:dyDescent="0.4">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6" x14ac:dyDescent="0.4">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6" x14ac:dyDescent="0.4">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6" x14ac:dyDescent="0.4">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6" x14ac:dyDescent="0.4">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6" x14ac:dyDescent="0.4">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6" x14ac:dyDescent="0.4">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6" x14ac:dyDescent="0.4">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6" x14ac:dyDescent="0.4">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6" x14ac:dyDescent="0.4">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6" x14ac:dyDescent="0.4">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6" x14ac:dyDescent="0.4">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6" x14ac:dyDescent="0.4">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6" x14ac:dyDescent="0.4">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6" x14ac:dyDescent="0.4">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6" x14ac:dyDescent="0.4">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6" x14ac:dyDescent="0.4">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6" x14ac:dyDescent="0.4">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6" x14ac:dyDescent="0.4">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6" x14ac:dyDescent="0.4">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6" x14ac:dyDescent="0.4">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6" x14ac:dyDescent="0.4">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6" x14ac:dyDescent="0.4">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6" x14ac:dyDescent="0.4">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6" x14ac:dyDescent="0.4">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6" x14ac:dyDescent="0.4">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6" x14ac:dyDescent="0.4">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6" x14ac:dyDescent="0.4">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6" x14ac:dyDescent="0.4">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6" x14ac:dyDescent="0.4">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6" x14ac:dyDescent="0.4">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6" x14ac:dyDescent="0.4">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6" x14ac:dyDescent="0.4">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6" x14ac:dyDescent="0.4">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6" x14ac:dyDescent="0.4">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6" x14ac:dyDescent="0.4">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6" x14ac:dyDescent="0.4">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6" x14ac:dyDescent="0.4">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6" x14ac:dyDescent="0.4">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6" x14ac:dyDescent="0.4">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6" x14ac:dyDescent="0.4">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6" x14ac:dyDescent="0.4">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6" x14ac:dyDescent="0.4">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6" x14ac:dyDescent="0.4">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6" x14ac:dyDescent="0.4">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6" x14ac:dyDescent="0.4">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6" x14ac:dyDescent="0.4">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6" x14ac:dyDescent="0.4">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6" x14ac:dyDescent="0.4">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6" x14ac:dyDescent="0.4">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6" x14ac:dyDescent="0.4">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6" x14ac:dyDescent="0.4">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6" x14ac:dyDescent="0.4">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6" x14ac:dyDescent="0.4">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6" x14ac:dyDescent="0.4">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6" x14ac:dyDescent="0.4">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6" x14ac:dyDescent="0.4">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6" x14ac:dyDescent="0.4">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6" x14ac:dyDescent="0.4">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6" x14ac:dyDescent="0.4">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6" x14ac:dyDescent="0.4">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6" x14ac:dyDescent="0.4">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6" x14ac:dyDescent="0.4">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6" x14ac:dyDescent="0.4">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6" x14ac:dyDescent="0.4">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6" x14ac:dyDescent="0.4">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6" x14ac:dyDescent="0.4">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6" x14ac:dyDescent="0.4">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6" x14ac:dyDescent="0.4">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6" x14ac:dyDescent="0.4">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6" x14ac:dyDescent="0.4">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6" x14ac:dyDescent="0.4">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6" x14ac:dyDescent="0.4">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6" x14ac:dyDescent="0.4">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6" x14ac:dyDescent="0.4">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6" x14ac:dyDescent="0.4">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6" x14ac:dyDescent="0.4">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6" x14ac:dyDescent="0.4">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6" x14ac:dyDescent="0.4">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6" x14ac:dyDescent="0.4">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6" x14ac:dyDescent="0.4">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6" x14ac:dyDescent="0.4">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6" x14ac:dyDescent="0.4">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6" x14ac:dyDescent="0.4">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6" x14ac:dyDescent="0.4">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6" x14ac:dyDescent="0.4">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6" x14ac:dyDescent="0.4">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6" x14ac:dyDescent="0.4">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6" x14ac:dyDescent="0.4">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6" x14ac:dyDescent="0.4">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6" x14ac:dyDescent="0.4">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6" x14ac:dyDescent="0.4">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6" x14ac:dyDescent="0.4">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6" x14ac:dyDescent="0.4">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6" x14ac:dyDescent="0.4">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6" x14ac:dyDescent="0.4">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6" x14ac:dyDescent="0.4">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6" x14ac:dyDescent="0.4">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6" x14ac:dyDescent="0.4">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6" x14ac:dyDescent="0.4">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6" x14ac:dyDescent="0.4">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6" x14ac:dyDescent="0.4">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6" x14ac:dyDescent="0.4">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6" x14ac:dyDescent="0.4">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6" x14ac:dyDescent="0.4">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6" x14ac:dyDescent="0.4">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6" x14ac:dyDescent="0.4">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6" x14ac:dyDescent="0.4">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6" x14ac:dyDescent="0.4">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6" x14ac:dyDescent="0.4">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6" x14ac:dyDescent="0.4">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6" x14ac:dyDescent="0.4">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6" x14ac:dyDescent="0.4">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6" x14ac:dyDescent="0.4">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6" x14ac:dyDescent="0.4">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6" x14ac:dyDescent="0.4">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6" x14ac:dyDescent="0.4">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6" x14ac:dyDescent="0.4">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6" x14ac:dyDescent="0.4">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6" x14ac:dyDescent="0.4">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6" x14ac:dyDescent="0.4">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6" x14ac:dyDescent="0.4">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6" x14ac:dyDescent="0.4">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6" x14ac:dyDescent="0.4">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6" x14ac:dyDescent="0.4">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6" x14ac:dyDescent="0.4">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6" x14ac:dyDescent="0.4">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6" x14ac:dyDescent="0.4">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6" x14ac:dyDescent="0.4">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6" x14ac:dyDescent="0.4">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6" x14ac:dyDescent="0.4">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6" x14ac:dyDescent="0.4">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6" x14ac:dyDescent="0.4">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6" x14ac:dyDescent="0.4">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6" x14ac:dyDescent="0.4">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6" x14ac:dyDescent="0.4">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6" x14ac:dyDescent="0.4">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6" x14ac:dyDescent="0.4">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6" x14ac:dyDescent="0.4">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6" x14ac:dyDescent="0.4">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6" x14ac:dyDescent="0.4">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6" x14ac:dyDescent="0.4">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6" x14ac:dyDescent="0.4">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6" x14ac:dyDescent="0.4">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6" x14ac:dyDescent="0.4">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6" x14ac:dyDescent="0.4">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6" x14ac:dyDescent="0.4">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6" x14ac:dyDescent="0.4">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6" x14ac:dyDescent="0.4">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6" x14ac:dyDescent="0.4">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6" x14ac:dyDescent="0.4">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6" x14ac:dyDescent="0.4">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6" x14ac:dyDescent="0.4">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6" x14ac:dyDescent="0.4">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6" x14ac:dyDescent="0.4">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6" x14ac:dyDescent="0.4">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6" x14ac:dyDescent="0.4">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6" x14ac:dyDescent="0.4">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6" x14ac:dyDescent="0.4">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6" x14ac:dyDescent="0.4">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6" x14ac:dyDescent="0.4">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6" x14ac:dyDescent="0.4">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6" x14ac:dyDescent="0.4">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6" x14ac:dyDescent="0.4">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6" x14ac:dyDescent="0.4">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6" x14ac:dyDescent="0.4">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6" x14ac:dyDescent="0.4">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6" x14ac:dyDescent="0.4">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6" x14ac:dyDescent="0.4">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6" x14ac:dyDescent="0.4">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6" x14ac:dyDescent="0.4">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6" x14ac:dyDescent="0.4">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6" x14ac:dyDescent="0.4">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6" x14ac:dyDescent="0.4">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6" x14ac:dyDescent="0.4">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6" x14ac:dyDescent="0.4">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6" x14ac:dyDescent="0.4">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6" x14ac:dyDescent="0.4">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6" x14ac:dyDescent="0.4">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6" x14ac:dyDescent="0.4">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6" x14ac:dyDescent="0.4">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6" x14ac:dyDescent="0.4">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6" x14ac:dyDescent="0.4">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6" x14ac:dyDescent="0.4">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6" x14ac:dyDescent="0.4">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6" x14ac:dyDescent="0.4">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6" x14ac:dyDescent="0.4">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6" x14ac:dyDescent="0.4">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6" x14ac:dyDescent="0.4">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6" x14ac:dyDescent="0.4">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6" x14ac:dyDescent="0.4">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6" x14ac:dyDescent="0.4">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6" x14ac:dyDescent="0.4">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6" x14ac:dyDescent="0.4">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6" x14ac:dyDescent="0.4">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6" x14ac:dyDescent="0.4">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6" x14ac:dyDescent="0.4">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6" x14ac:dyDescent="0.4">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6" x14ac:dyDescent="0.4">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6" x14ac:dyDescent="0.4">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6" x14ac:dyDescent="0.4">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6" x14ac:dyDescent="0.4">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6" x14ac:dyDescent="0.4">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6" x14ac:dyDescent="0.4">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6" x14ac:dyDescent="0.4">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6" x14ac:dyDescent="0.4">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6" x14ac:dyDescent="0.4">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6" x14ac:dyDescent="0.4">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6" x14ac:dyDescent="0.4">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6" x14ac:dyDescent="0.4">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6" x14ac:dyDescent="0.4">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6" x14ac:dyDescent="0.4">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6" x14ac:dyDescent="0.4">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6" x14ac:dyDescent="0.4">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6" x14ac:dyDescent="0.4">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6" x14ac:dyDescent="0.4">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6" x14ac:dyDescent="0.4">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6" x14ac:dyDescent="0.4">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6" x14ac:dyDescent="0.4">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6" x14ac:dyDescent="0.4">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6" x14ac:dyDescent="0.4">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6" x14ac:dyDescent="0.4">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6" x14ac:dyDescent="0.4">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6" x14ac:dyDescent="0.4">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6" x14ac:dyDescent="0.4">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6" x14ac:dyDescent="0.4">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6" x14ac:dyDescent="0.4">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6" x14ac:dyDescent="0.4">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6" x14ac:dyDescent="0.4">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6" x14ac:dyDescent="0.4">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6" x14ac:dyDescent="0.4">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6" x14ac:dyDescent="0.4">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6" x14ac:dyDescent="0.4">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6" x14ac:dyDescent="0.4">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6" x14ac:dyDescent="0.4">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6" x14ac:dyDescent="0.4">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6" x14ac:dyDescent="0.4">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6" x14ac:dyDescent="0.4">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6" x14ac:dyDescent="0.4">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6" x14ac:dyDescent="0.4">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6" x14ac:dyDescent="0.4">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6" x14ac:dyDescent="0.4">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6" x14ac:dyDescent="0.4">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6" x14ac:dyDescent="0.4">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6" x14ac:dyDescent="0.4">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6" x14ac:dyDescent="0.4">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6" x14ac:dyDescent="0.4">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6" x14ac:dyDescent="0.4">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6" x14ac:dyDescent="0.4">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6" x14ac:dyDescent="0.4">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6" x14ac:dyDescent="0.4">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6" x14ac:dyDescent="0.4">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6" x14ac:dyDescent="0.4">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6" x14ac:dyDescent="0.4">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6" x14ac:dyDescent="0.4">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6" x14ac:dyDescent="0.4">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6" x14ac:dyDescent="0.4">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6" x14ac:dyDescent="0.4">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6" x14ac:dyDescent="0.4">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6" x14ac:dyDescent="0.4">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6" x14ac:dyDescent="0.4">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6" x14ac:dyDescent="0.4">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6" x14ac:dyDescent="0.4">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6" x14ac:dyDescent="0.4">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6" x14ac:dyDescent="0.4">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6" x14ac:dyDescent="0.4">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6" x14ac:dyDescent="0.4">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6" x14ac:dyDescent="0.4">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6" x14ac:dyDescent="0.4">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6" x14ac:dyDescent="0.4">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6" x14ac:dyDescent="0.4">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6" x14ac:dyDescent="0.4">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6" x14ac:dyDescent="0.4">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6" x14ac:dyDescent="0.4">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6" x14ac:dyDescent="0.4">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6" x14ac:dyDescent="0.4">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6" x14ac:dyDescent="0.4">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6" x14ac:dyDescent="0.4">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6" x14ac:dyDescent="0.4">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6" x14ac:dyDescent="0.4">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6" x14ac:dyDescent="0.4">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6" x14ac:dyDescent="0.4">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6" x14ac:dyDescent="0.4">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6" x14ac:dyDescent="0.4">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6" x14ac:dyDescent="0.4">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6" x14ac:dyDescent="0.4">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6" x14ac:dyDescent="0.4">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6" x14ac:dyDescent="0.4">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6" x14ac:dyDescent="0.4">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6" x14ac:dyDescent="0.4">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6" x14ac:dyDescent="0.4">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6" x14ac:dyDescent="0.4">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6" x14ac:dyDescent="0.4">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6" x14ac:dyDescent="0.4">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6" x14ac:dyDescent="0.4">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6" x14ac:dyDescent="0.4">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6" x14ac:dyDescent="0.4">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6" x14ac:dyDescent="0.4">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6" x14ac:dyDescent="0.4">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6" x14ac:dyDescent="0.4">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6" x14ac:dyDescent="0.4">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6" x14ac:dyDescent="0.4">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6" x14ac:dyDescent="0.4">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6" x14ac:dyDescent="0.4">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6" x14ac:dyDescent="0.4">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6" x14ac:dyDescent="0.4">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6" x14ac:dyDescent="0.4">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6" x14ac:dyDescent="0.4">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6" x14ac:dyDescent="0.4">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6" x14ac:dyDescent="0.4">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6" x14ac:dyDescent="0.4">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6" x14ac:dyDescent="0.4">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6" x14ac:dyDescent="0.4">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6" x14ac:dyDescent="0.4">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6" x14ac:dyDescent="0.4">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6" x14ac:dyDescent="0.4">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6" x14ac:dyDescent="0.4">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6" x14ac:dyDescent="0.4">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6" x14ac:dyDescent="0.4">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6" x14ac:dyDescent="0.4">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6" x14ac:dyDescent="0.4">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6" x14ac:dyDescent="0.4">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6" x14ac:dyDescent="0.4">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6" x14ac:dyDescent="0.4">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6" x14ac:dyDescent="0.4">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6" x14ac:dyDescent="0.4">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6" x14ac:dyDescent="0.4">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6" x14ac:dyDescent="0.4">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6" x14ac:dyDescent="0.4">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6" x14ac:dyDescent="0.4">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6" x14ac:dyDescent="0.4">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6" x14ac:dyDescent="0.4">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6" x14ac:dyDescent="0.4">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6" x14ac:dyDescent="0.4">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6" x14ac:dyDescent="0.4">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6" x14ac:dyDescent="0.4">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6" x14ac:dyDescent="0.4">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6" x14ac:dyDescent="0.4">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6" x14ac:dyDescent="0.4">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6" x14ac:dyDescent="0.4">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6" x14ac:dyDescent="0.4">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6" x14ac:dyDescent="0.4">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6" x14ac:dyDescent="0.4">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6" x14ac:dyDescent="0.4">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6" x14ac:dyDescent="0.4">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6" x14ac:dyDescent="0.4">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6" x14ac:dyDescent="0.4">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6" x14ac:dyDescent="0.4">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6" x14ac:dyDescent="0.4">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6" x14ac:dyDescent="0.4">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6" x14ac:dyDescent="0.4">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6" x14ac:dyDescent="0.4">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6" x14ac:dyDescent="0.4">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6" x14ac:dyDescent="0.4">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6" x14ac:dyDescent="0.4">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6" x14ac:dyDescent="0.4">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6" x14ac:dyDescent="0.4">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6" x14ac:dyDescent="0.4">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6" x14ac:dyDescent="0.4">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6" x14ac:dyDescent="0.4">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6" x14ac:dyDescent="0.4">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6" x14ac:dyDescent="0.4">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6" x14ac:dyDescent="0.4">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6" x14ac:dyDescent="0.4">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6" x14ac:dyDescent="0.4">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6" x14ac:dyDescent="0.4">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6" x14ac:dyDescent="0.4">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6" x14ac:dyDescent="0.4">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6" x14ac:dyDescent="0.4">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6" x14ac:dyDescent="0.4">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6" x14ac:dyDescent="0.4">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6" x14ac:dyDescent="0.4">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6" x14ac:dyDescent="0.4">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6" x14ac:dyDescent="0.4">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6" x14ac:dyDescent="0.4">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6" x14ac:dyDescent="0.4">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6" x14ac:dyDescent="0.4">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6" x14ac:dyDescent="0.4">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6" x14ac:dyDescent="0.4">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6" x14ac:dyDescent="0.4">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6" x14ac:dyDescent="0.4">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6" x14ac:dyDescent="0.4">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6" x14ac:dyDescent="0.4">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6" x14ac:dyDescent="0.4">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6" x14ac:dyDescent="0.4">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6" x14ac:dyDescent="0.4">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6" x14ac:dyDescent="0.4">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6" x14ac:dyDescent="0.4">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6" x14ac:dyDescent="0.4">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6" x14ac:dyDescent="0.4">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6" x14ac:dyDescent="0.4">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6" x14ac:dyDescent="0.4">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6" x14ac:dyDescent="0.4">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6" x14ac:dyDescent="0.4">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6" x14ac:dyDescent="0.4">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6" x14ac:dyDescent="0.4">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6" x14ac:dyDescent="0.4">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6" x14ac:dyDescent="0.4">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6" x14ac:dyDescent="0.4">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6" x14ac:dyDescent="0.4">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6" x14ac:dyDescent="0.4">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6" x14ac:dyDescent="0.4">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6" x14ac:dyDescent="0.4">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6" x14ac:dyDescent="0.4">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6" x14ac:dyDescent="0.4">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6" x14ac:dyDescent="0.4">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6" x14ac:dyDescent="0.4">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6" x14ac:dyDescent="0.4">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6" x14ac:dyDescent="0.4">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6" x14ac:dyDescent="0.4">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6" x14ac:dyDescent="0.4">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6" x14ac:dyDescent="0.4">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6" x14ac:dyDescent="0.4">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6" x14ac:dyDescent="0.4">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6" x14ac:dyDescent="0.4">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6" x14ac:dyDescent="0.4">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6" x14ac:dyDescent="0.4">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6" x14ac:dyDescent="0.4">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6" x14ac:dyDescent="0.4">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6" x14ac:dyDescent="0.4">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6" x14ac:dyDescent="0.4">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6" x14ac:dyDescent="0.4">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6" x14ac:dyDescent="0.4">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6" x14ac:dyDescent="0.4">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6" x14ac:dyDescent="0.4">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6" x14ac:dyDescent="0.4">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6" x14ac:dyDescent="0.4">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6" x14ac:dyDescent="0.4">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6" x14ac:dyDescent="0.4">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6" x14ac:dyDescent="0.4">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6" x14ac:dyDescent="0.4">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6" x14ac:dyDescent="0.4">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6" x14ac:dyDescent="0.4">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6" x14ac:dyDescent="0.4">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6" x14ac:dyDescent="0.4">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6" x14ac:dyDescent="0.4">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6" x14ac:dyDescent="0.4">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6" x14ac:dyDescent="0.4">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6" x14ac:dyDescent="0.4">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6" x14ac:dyDescent="0.4">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6" x14ac:dyDescent="0.4">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6" x14ac:dyDescent="0.4">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6" x14ac:dyDescent="0.4">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6" x14ac:dyDescent="0.4">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6" x14ac:dyDescent="0.4">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6" x14ac:dyDescent="0.4">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6" x14ac:dyDescent="0.4">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6" x14ac:dyDescent="0.4">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6" x14ac:dyDescent="0.4">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6" x14ac:dyDescent="0.4">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6" x14ac:dyDescent="0.4">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6" x14ac:dyDescent="0.4">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6" x14ac:dyDescent="0.4">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6" x14ac:dyDescent="0.4">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6" x14ac:dyDescent="0.4">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6" x14ac:dyDescent="0.4">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6" x14ac:dyDescent="0.4">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6" x14ac:dyDescent="0.4">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6" x14ac:dyDescent="0.4">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6" x14ac:dyDescent="0.4">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6" x14ac:dyDescent="0.4">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6" x14ac:dyDescent="0.4">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6" x14ac:dyDescent="0.4">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6" x14ac:dyDescent="0.4">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6" x14ac:dyDescent="0.4">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6" x14ac:dyDescent="0.4">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6" x14ac:dyDescent="0.4">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6" x14ac:dyDescent="0.4">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6" x14ac:dyDescent="0.4">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6" x14ac:dyDescent="0.4">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6" x14ac:dyDescent="0.4">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6" x14ac:dyDescent="0.4">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6" x14ac:dyDescent="0.4">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6" x14ac:dyDescent="0.4">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6" x14ac:dyDescent="0.4">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6" x14ac:dyDescent="0.4">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6" x14ac:dyDescent="0.4">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6" x14ac:dyDescent="0.4">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6" x14ac:dyDescent="0.4">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6" x14ac:dyDescent="0.4">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6" x14ac:dyDescent="0.4">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6" x14ac:dyDescent="0.4">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6" x14ac:dyDescent="0.4">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6" x14ac:dyDescent="0.4">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6" x14ac:dyDescent="0.4">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6" x14ac:dyDescent="0.4">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6" x14ac:dyDescent="0.4">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6" x14ac:dyDescent="0.4">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6" x14ac:dyDescent="0.4">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6" x14ac:dyDescent="0.4">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6" x14ac:dyDescent="0.4">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6" x14ac:dyDescent="0.4">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6" x14ac:dyDescent="0.4">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6" x14ac:dyDescent="0.4">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6" x14ac:dyDescent="0.4">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6" x14ac:dyDescent="0.4">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6" x14ac:dyDescent="0.4">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6" x14ac:dyDescent="0.4">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6" x14ac:dyDescent="0.4">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6" x14ac:dyDescent="0.4">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6" x14ac:dyDescent="0.4">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6" x14ac:dyDescent="0.4">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6" x14ac:dyDescent="0.4">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6" x14ac:dyDescent="0.4">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6" x14ac:dyDescent="0.4">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6" x14ac:dyDescent="0.4">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6" x14ac:dyDescent="0.4">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6" x14ac:dyDescent="0.4">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6" x14ac:dyDescent="0.4">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6" x14ac:dyDescent="0.4">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6" x14ac:dyDescent="0.4">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6" x14ac:dyDescent="0.4">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6" x14ac:dyDescent="0.4">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6" x14ac:dyDescent="0.4">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6" x14ac:dyDescent="0.4">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6" x14ac:dyDescent="0.4">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6" x14ac:dyDescent="0.4">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6" x14ac:dyDescent="0.4">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6" x14ac:dyDescent="0.4">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6" x14ac:dyDescent="0.4">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6" x14ac:dyDescent="0.4">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6" x14ac:dyDescent="0.4">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6" x14ac:dyDescent="0.4">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6" x14ac:dyDescent="0.4">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6" x14ac:dyDescent="0.4">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6" x14ac:dyDescent="0.4">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6" x14ac:dyDescent="0.4">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6" x14ac:dyDescent="0.4">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6" x14ac:dyDescent="0.4">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6" x14ac:dyDescent="0.4">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6" x14ac:dyDescent="0.4">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6" x14ac:dyDescent="0.4">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6" x14ac:dyDescent="0.4">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6" x14ac:dyDescent="0.4">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6" x14ac:dyDescent="0.4">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6" x14ac:dyDescent="0.4">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6" x14ac:dyDescent="0.4">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6" x14ac:dyDescent="0.4">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6" x14ac:dyDescent="0.4">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6" x14ac:dyDescent="0.4">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6" x14ac:dyDescent="0.4">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6" x14ac:dyDescent="0.4">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6" x14ac:dyDescent="0.4">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6" x14ac:dyDescent="0.4">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6" x14ac:dyDescent="0.4">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6" x14ac:dyDescent="0.4">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6" x14ac:dyDescent="0.4">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6" x14ac:dyDescent="0.4">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6" x14ac:dyDescent="0.4">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6" x14ac:dyDescent="0.4">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6" x14ac:dyDescent="0.4">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6" x14ac:dyDescent="0.4">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6" x14ac:dyDescent="0.4">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6" x14ac:dyDescent="0.4">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6" x14ac:dyDescent="0.4">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6" x14ac:dyDescent="0.4">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6" x14ac:dyDescent="0.4">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6" x14ac:dyDescent="0.4">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6" x14ac:dyDescent="0.4">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6" x14ac:dyDescent="0.4">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6" x14ac:dyDescent="0.4">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6" x14ac:dyDescent="0.4">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6" x14ac:dyDescent="0.4">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6" x14ac:dyDescent="0.4">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6" x14ac:dyDescent="0.4">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6" x14ac:dyDescent="0.4">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6" x14ac:dyDescent="0.4">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6" x14ac:dyDescent="0.4">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6" x14ac:dyDescent="0.4">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6" x14ac:dyDescent="0.4">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6" x14ac:dyDescent="0.4">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6" x14ac:dyDescent="0.4">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6" x14ac:dyDescent="0.4">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6" x14ac:dyDescent="0.4">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6" x14ac:dyDescent="0.4">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6" x14ac:dyDescent="0.4">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6" x14ac:dyDescent="0.4">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6" x14ac:dyDescent="0.4">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6" x14ac:dyDescent="0.4">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6" x14ac:dyDescent="0.4">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6" x14ac:dyDescent="0.4">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6" x14ac:dyDescent="0.4">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6" x14ac:dyDescent="0.4">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6" x14ac:dyDescent="0.4">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6" x14ac:dyDescent="0.4">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6" x14ac:dyDescent="0.4">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6" x14ac:dyDescent="0.4">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6" x14ac:dyDescent="0.4">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6" x14ac:dyDescent="0.4">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6" x14ac:dyDescent="0.4">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6" x14ac:dyDescent="0.4">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6" x14ac:dyDescent="0.4">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6" x14ac:dyDescent="0.4">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6" x14ac:dyDescent="0.4">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6" x14ac:dyDescent="0.4">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6" x14ac:dyDescent="0.4">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6" x14ac:dyDescent="0.4">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6" x14ac:dyDescent="0.4">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6" x14ac:dyDescent="0.4">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6" x14ac:dyDescent="0.4">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6" x14ac:dyDescent="0.4">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6" x14ac:dyDescent="0.4">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6" x14ac:dyDescent="0.4">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6" x14ac:dyDescent="0.4">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6" x14ac:dyDescent="0.4">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6" x14ac:dyDescent="0.4">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6" x14ac:dyDescent="0.4">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6" x14ac:dyDescent="0.4">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6" x14ac:dyDescent="0.4">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6" x14ac:dyDescent="0.4">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6" x14ac:dyDescent="0.4">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6" x14ac:dyDescent="0.4">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6" x14ac:dyDescent="0.4">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6" x14ac:dyDescent="0.4">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6" x14ac:dyDescent="0.4">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6" x14ac:dyDescent="0.4">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6" x14ac:dyDescent="0.4">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6" x14ac:dyDescent="0.4">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6" x14ac:dyDescent="0.4">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6" x14ac:dyDescent="0.4">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6" x14ac:dyDescent="0.4">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6" x14ac:dyDescent="0.4">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6" x14ac:dyDescent="0.4">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6" x14ac:dyDescent="0.4">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6" x14ac:dyDescent="0.4">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6" x14ac:dyDescent="0.4">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6" x14ac:dyDescent="0.4">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6" x14ac:dyDescent="0.4">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6" x14ac:dyDescent="0.4">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6" x14ac:dyDescent="0.4">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6" x14ac:dyDescent="0.4">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6" x14ac:dyDescent="0.4">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6" x14ac:dyDescent="0.4">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6" x14ac:dyDescent="0.4">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6" x14ac:dyDescent="0.4">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6" x14ac:dyDescent="0.4">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6" x14ac:dyDescent="0.4">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6" x14ac:dyDescent="0.4">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6" x14ac:dyDescent="0.4">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6" x14ac:dyDescent="0.4">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6" x14ac:dyDescent="0.4">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6" x14ac:dyDescent="0.4">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6" x14ac:dyDescent="0.4">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6" x14ac:dyDescent="0.4">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6" x14ac:dyDescent="0.4">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6" x14ac:dyDescent="0.4">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6" x14ac:dyDescent="0.4">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6" x14ac:dyDescent="0.4">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6" x14ac:dyDescent="0.4">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6" x14ac:dyDescent="0.4">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6" x14ac:dyDescent="0.4">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6" x14ac:dyDescent="0.4">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6" x14ac:dyDescent="0.4">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6" x14ac:dyDescent="0.4">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6" x14ac:dyDescent="0.4">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6" x14ac:dyDescent="0.4">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6" x14ac:dyDescent="0.4">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6" x14ac:dyDescent="0.4">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6" x14ac:dyDescent="0.4">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6" x14ac:dyDescent="0.4">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6" x14ac:dyDescent="0.4">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6" x14ac:dyDescent="0.4">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6" x14ac:dyDescent="0.4">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6" x14ac:dyDescent="0.4">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6" x14ac:dyDescent="0.4">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6" x14ac:dyDescent="0.4">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6" x14ac:dyDescent="0.4">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6" x14ac:dyDescent="0.4">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6" x14ac:dyDescent="0.4">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6" x14ac:dyDescent="0.4">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6" x14ac:dyDescent="0.4">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6" x14ac:dyDescent="0.4">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6" x14ac:dyDescent="0.4">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6" x14ac:dyDescent="0.4">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6" x14ac:dyDescent="0.4">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6" x14ac:dyDescent="0.4">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6" x14ac:dyDescent="0.4">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6" x14ac:dyDescent="0.4">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6" x14ac:dyDescent="0.4">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6" x14ac:dyDescent="0.4">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6" x14ac:dyDescent="0.4">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6" x14ac:dyDescent="0.4">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6" x14ac:dyDescent="0.4">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6" x14ac:dyDescent="0.4">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6" x14ac:dyDescent="0.4">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6" x14ac:dyDescent="0.4">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6" x14ac:dyDescent="0.4">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6" x14ac:dyDescent="0.4">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6" x14ac:dyDescent="0.4">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6" x14ac:dyDescent="0.4">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6" x14ac:dyDescent="0.4">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6" x14ac:dyDescent="0.4">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6" x14ac:dyDescent="0.4">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6" x14ac:dyDescent="0.4">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6" x14ac:dyDescent="0.4">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6" x14ac:dyDescent="0.4">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6" x14ac:dyDescent="0.4">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6" x14ac:dyDescent="0.4">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6" x14ac:dyDescent="0.4">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6" x14ac:dyDescent="0.4">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6" x14ac:dyDescent="0.4">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6" x14ac:dyDescent="0.4">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6" x14ac:dyDescent="0.4">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6" x14ac:dyDescent="0.4">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6" x14ac:dyDescent="0.4">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6" x14ac:dyDescent="0.4">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6" x14ac:dyDescent="0.4">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6" x14ac:dyDescent="0.4">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6" x14ac:dyDescent="0.4">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6" x14ac:dyDescent="0.4">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6" x14ac:dyDescent="0.4">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6" x14ac:dyDescent="0.4">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6" x14ac:dyDescent="0.4">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6" x14ac:dyDescent="0.4">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6" x14ac:dyDescent="0.4">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6" x14ac:dyDescent="0.4">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6" x14ac:dyDescent="0.4">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6" x14ac:dyDescent="0.4">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6" x14ac:dyDescent="0.4">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6" x14ac:dyDescent="0.4">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6" x14ac:dyDescent="0.4">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6" x14ac:dyDescent="0.4">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6" x14ac:dyDescent="0.4">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6" x14ac:dyDescent="0.4">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6" x14ac:dyDescent="0.4">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6" x14ac:dyDescent="0.4">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6" x14ac:dyDescent="0.4">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6" x14ac:dyDescent="0.4">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6" x14ac:dyDescent="0.4">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6" x14ac:dyDescent="0.4">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6" x14ac:dyDescent="0.4">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6" x14ac:dyDescent="0.4">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6" x14ac:dyDescent="0.4">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6" x14ac:dyDescent="0.4">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6" x14ac:dyDescent="0.4">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6" x14ac:dyDescent="0.4">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6" x14ac:dyDescent="0.4">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6" x14ac:dyDescent="0.4">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6" x14ac:dyDescent="0.4">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6" x14ac:dyDescent="0.4">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6" x14ac:dyDescent="0.4">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6" x14ac:dyDescent="0.4">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6" x14ac:dyDescent="0.4">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6" x14ac:dyDescent="0.4">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6" x14ac:dyDescent="0.4">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6" x14ac:dyDescent="0.4">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6" x14ac:dyDescent="0.4">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6" x14ac:dyDescent="0.4">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6" x14ac:dyDescent="0.4">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6" x14ac:dyDescent="0.4">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6" x14ac:dyDescent="0.4">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6" x14ac:dyDescent="0.4">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6" x14ac:dyDescent="0.4">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6" x14ac:dyDescent="0.4">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6" x14ac:dyDescent="0.4">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6" x14ac:dyDescent="0.4">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6" x14ac:dyDescent="0.4">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6" x14ac:dyDescent="0.4">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6" x14ac:dyDescent="0.4">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6" x14ac:dyDescent="0.4">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6" x14ac:dyDescent="0.4">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6" x14ac:dyDescent="0.4">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6" x14ac:dyDescent="0.4">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6" x14ac:dyDescent="0.4">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6" x14ac:dyDescent="0.4">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6" x14ac:dyDescent="0.4">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6" x14ac:dyDescent="0.4">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6" x14ac:dyDescent="0.4">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6" x14ac:dyDescent="0.4">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6" x14ac:dyDescent="0.4">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6" x14ac:dyDescent="0.4">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6" x14ac:dyDescent="0.4">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6" x14ac:dyDescent="0.4">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6" x14ac:dyDescent="0.4">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6" x14ac:dyDescent="0.4">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6" x14ac:dyDescent="0.4">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6" x14ac:dyDescent="0.4">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6" x14ac:dyDescent="0.4">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6" x14ac:dyDescent="0.4">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6" x14ac:dyDescent="0.4">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6" x14ac:dyDescent="0.4">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6" x14ac:dyDescent="0.4">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6" x14ac:dyDescent="0.4">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6" x14ac:dyDescent="0.4">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6" x14ac:dyDescent="0.4">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6" x14ac:dyDescent="0.4">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6" x14ac:dyDescent="0.4">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6" x14ac:dyDescent="0.4">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6" x14ac:dyDescent="0.4">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6" x14ac:dyDescent="0.4">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6" x14ac:dyDescent="0.4">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6" x14ac:dyDescent="0.4">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6" x14ac:dyDescent="0.4">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6" x14ac:dyDescent="0.4">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6" x14ac:dyDescent="0.4">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6" x14ac:dyDescent="0.4">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6" x14ac:dyDescent="0.4">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6" x14ac:dyDescent="0.4">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6" x14ac:dyDescent="0.4">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6" x14ac:dyDescent="0.4">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6" x14ac:dyDescent="0.4">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6" x14ac:dyDescent="0.4">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6" x14ac:dyDescent="0.4">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6" x14ac:dyDescent="0.4">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6" x14ac:dyDescent="0.4">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6" x14ac:dyDescent="0.4">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6" x14ac:dyDescent="0.4">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6" x14ac:dyDescent="0.4">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6" x14ac:dyDescent="0.4">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6" x14ac:dyDescent="0.4">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6" x14ac:dyDescent="0.4">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6" x14ac:dyDescent="0.4">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6" x14ac:dyDescent="0.4">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6" x14ac:dyDescent="0.4">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6" x14ac:dyDescent="0.4">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6" x14ac:dyDescent="0.4">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6" x14ac:dyDescent="0.4">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6" x14ac:dyDescent="0.4">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6" x14ac:dyDescent="0.4">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6" x14ac:dyDescent="0.4">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6" x14ac:dyDescent="0.4">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6" x14ac:dyDescent="0.4">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6" x14ac:dyDescent="0.4">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6" x14ac:dyDescent="0.4">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6" x14ac:dyDescent="0.4">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6" x14ac:dyDescent="0.4">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6" x14ac:dyDescent="0.4">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6" x14ac:dyDescent="0.4">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6" x14ac:dyDescent="0.4">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6" x14ac:dyDescent="0.4">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6" x14ac:dyDescent="0.4">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6" x14ac:dyDescent="0.4">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6" x14ac:dyDescent="0.4">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6" x14ac:dyDescent="0.4">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6" x14ac:dyDescent="0.4">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6" x14ac:dyDescent="0.4">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6" x14ac:dyDescent="0.4">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6" x14ac:dyDescent="0.4">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6" x14ac:dyDescent="0.4">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6" x14ac:dyDescent="0.4">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6" x14ac:dyDescent="0.4">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6" x14ac:dyDescent="0.4">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6" x14ac:dyDescent="0.4">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6" x14ac:dyDescent="0.4">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6" x14ac:dyDescent="0.4">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6" x14ac:dyDescent="0.4">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6" x14ac:dyDescent="0.4">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6" x14ac:dyDescent="0.4">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6" x14ac:dyDescent="0.4">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6" x14ac:dyDescent="0.4">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6" x14ac:dyDescent="0.4">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6" x14ac:dyDescent="0.4">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6" x14ac:dyDescent="0.4">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6" x14ac:dyDescent="0.4">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6" x14ac:dyDescent="0.4">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6" x14ac:dyDescent="0.4">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6" x14ac:dyDescent="0.4">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6" x14ac:dyDescent="0.4">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6" x14ac:dyDescent="0.4">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6" x14ac:dyDescent="0.4">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6" x14ac:dyDescent="0.4">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6" x14ac:dyDescent="0.4">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6" x14ac:dyDescent="0.4">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6" x14ac:dyDescent="0.4">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6" x14ac:dyDescent="0.4">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6" x14ac:dyDescent="0.4">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6" x14ac:dyDescent="0.4">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6" x14ac:dyDescent="0.4">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6" x14ac:dyDescent="0.4">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6" x14ac:dyDescent="0.4">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6" x14ac:dyDescent="0.4">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6" x14ac:dyDescent="0.4">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6" x14ac:dyDescent="0.4">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6" x14ac:dyDescent="0.4">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6" x14ac:dyDescent="0.4">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6" x14ac:dyDescent="0.4">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6" x14ac:dyDescent="0.4">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6" x14ac:dyDescent="0.4">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6" x14ac:dyDescent="0.4">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6" x14ac:dyDescent="0.4">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6" x14ac:dyDescent="0.4">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6" x14ac:dyDescent="0.4">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6" x14ac:dyDescent="0.4">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6" x14ac:dyDescent="0.4">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6" x14ac:dyDescent="0.4">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6" x14ac:dyDescent="0.4">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6" x14ac:dyDescent="0.4">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6" x14ac:dyDescent="0.4">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6" x14ac:dyDescent="0.4">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6" x14ac:dyDescent="0.4">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6" x14ac:dyDescent="0.4">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6" x14ac:dyDescent="0.4">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6" x14ac:dyDescent="0.4">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6" x14ac:dyDescent="0.4">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6" x14ac:dyDescent="0.4">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6" x14ac:dyDescent="0.4">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6" x14ac:dyDescent="0.4">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6" x14ac:dyDescent="0.4">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6" x14ac:dyDescent="0.4">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6" x14ac:dyDescent="0.4">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6" x14ac:dyDescent="0.4">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6" x14ac:dyDescent="0.4">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6" x14ac:dyDescent="0.4">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6" x14ac:dyDescent="0.4">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6" x14ac:dyDescent="0.4">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6" x14ac:dyDescent="0.4">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6" x14ac:dyDescent="0.4">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6" x14ac:dyDescent="0.4">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6" x14ac:dyDescent="0.4">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6" x14ac:dyDescent="0.4">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6" x14ac:dyDescent="0.4">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6" x14ac:dyDescent="0.4">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6" x14ac:dyDescent="0.4">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6" x14ac:dyDescent="0.4">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6" x14ac:dyDescent="0.4">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6" x14ac:dyDescent="0.4">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6" x14ac:dyDescent="0.4">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6" x14ac:dyDescent="0.4">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6" x14ac:dyDescent="0.4">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6" x14ac:dyDescent="0.4">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6" x14ac:dyDescent="0.4">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6" x14ac:dyDescent="0.4">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6" x14ac:dyDescent="0.4">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6" x14ac:dyDescent="0.4">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6" x14ac:dyDescent="0.4">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6" x14ac:dyDescent="0.4">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6" x14ac:dyDescent="0.4">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6" x14ac:dyDescent="0.4">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6" x14ac:dyDescent="0.4">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6" x14ac:dyDescent="0.4">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6" x14ac:dyDescent="0.4">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6" x14ac:dyDescent="0.4">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6" x14ac:dyDescent="0.4">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6" x14ac:dyDescent="0.4">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6" x14ac:dyDescent="0.4">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6" x14ac:dyDescent="0.4">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6" x14ac:dyDescent="0.4">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6" x14ac:dyDescent="0.4">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6" x14ac:dyDescent="0.4">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6" x14ac:dyDescent="0.4">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6" x14ac:dyDescent="0.4">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6" x14ac:dyDescent="0.4">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6" x14ac:dyDescent="0.4">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6" x14ac:dyDescent="0.4">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6" x14ac:dyDescent="0.4">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6" x14ac:dyDescent="0.4">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6" x14ac:dyDescent="0.4">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6" x14ac:dyDescent="0.4">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6" x14ac:dyDescent="0.4">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6" x14ac:dyDescent="0.4">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6" x14ac:dyDescent="0.4">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6" x14ac:dyDescent="0.4">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6" x14ac:dyDescent="0.4">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6" x14ac:dyDescent="0.4">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6" x14ac:dyDescent="0.4">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6" x14ac:dyDescent="0.4">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6" x14ac:dyDescent="0.4">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6" x14ac:dyDescent="0.4">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6" x14ac:dyDescent="0.4">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6" x14ac:dyDescent="0.4">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6" x14ac:dyDescent="0.4">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6" x14ac:dyDescent="0.4">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6" x14ac:dyDescent="0.4">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6" x14ac:dyDescent="0.4">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6" x14ac:dyDescent="0.4">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6" x14ac:dyDescent="0.4">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6" x14ac:dyDescent="0.4">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6" x14ac:dyDescent="0.4">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6" x14ac:dyDescent="0.4">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6" x14ac:dyDescent="0.4">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6" x14ac:dyDescent="0.4">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6" x14ac:dyDescent="0.4">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6" x14ac:dyDescent="0.4">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6" x14ac:dyDescent="0.4">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6" x14ac:dyDescent="0.4">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6" x14ac:dyDescent="0.4">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6" x14ac:dyDescent="0.4">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6" x14ac:dyDescent="0.4">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6" x14ac:dyDescent="0.4">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6" x14ac:dyDescent="0.4">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6" x14ac:dyDescent="0.4">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6" x14ac:dyDescent="0.4">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6" x14ac:dyDescent="0.4">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6" x14ac:dyDescent="0.4">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6" x14ac:dyDescent="0.4">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6" x14ac:dyDescent="0.4">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6" x14ac:dyDescent="0.4">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6" x14ac:dyDescent="0.4">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6" x14ac:dyDescent="0.4">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6" x14ac:dyDescent="0.4">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6" x14ac:dyDescent="0.4">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6" x14ac:dyDescent="0.4">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6" x14ac:dyDescent="0.4">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6" x14ac:dyDescent="0.4">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6" x14ac:dyDescent="0.4">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6" x14ac:dyDescent="0.4">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6" x14ac:dyDescent="0.4">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6" x14ac:dyDescent="0.4">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6" x14ac:dyDescent="0.4">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6" x14ac:dyDescent="0.4">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6" x14ac:dyDescent="0.4">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6" x14ac:dyDescent="0.4">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6" x14ac:dyDescent="0.4">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6" x14ac:dyDescent="0.4">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6" x14ac:dyDescent="0.4">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6" x14ac:dyDescent="0.4">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6" x14ac:dyDescent="0.4">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6" x14ac:dyDescent="0.4">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6" x14ac:dyDescent="0.4">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6" x14ac:dyDescent="0.4">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6" x14ac:dyDescent="0.4">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6" x14ac:dyDescent="0.4">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6" x14ac:dyDescent="0.4">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6" x14ac:dyDescent="0.4">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6" x14ac:dyDescent="0.4">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6" x14ac:dyDescent="0.4">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6" x14ac:dyDescent="0.4">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6" x14ac:dyDescent="0.4">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6" x14ac:dyDescent="0.4">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6" x14ac:dyDescent="0.4">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6" x14ac:dyDescent="0.4">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6" x14ac:dyDescent="0.4">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6" x14ac:dyDescent="0.4">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6" x14ac:dyDescent="0.4">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6" x14ac:dyDescent="0.4">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6" x14ac:dyDescent="0.4">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6" x14ac:dyDescent="0.4">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6" x14ac:dyDescent="0.4">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6" x14ac:dyDescent="0.4">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6" x14ac:dyDescent="0.4">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6" x14ac:dyDescent="0.4">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6" x14ac:dyDescent="0.4">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6" x14ac:dyDescent="0.4">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6" x14ac:dyDescent="0.4">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6" x14ac:dyDescent="0.4">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6" x14ac:dyDescent="0.4">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6" x14ac:dyDescent="0.4">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6" x14ac:dyDescent="0.4">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6" x14ac:dyDescent="0.4">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6" x14ac:dyDescent="0.4">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6" x14ac:dyDescent="0.4">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6" x14ac:dyDescent="0.4">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6" x14ac:dyDescent="0.4">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6" x14ac:dyDescent="0.4">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6" x14ac:dyDescent="0.4">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6" x14ac:dyDescent="0.4">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6" x14ac:dyDescent="0.4">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6" x14ac:dyDescent="0.4">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6" x14ac:dyDescent="0.4">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6" x14ac:dyDescent="0.4">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6" x14ac:dyDescent="0.4">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6" x14ac:dyDescent="0.4">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6" x14ac:dyDescent="0.4">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6" x14ac:dyDescent="0.4">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6" x14ac:dyDescent="0.4">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6" x14ac:dyDescent="0.4">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6" x14ac:dyDescent="0.4">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6" x14ac:dyDescent="0.4">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6" x14ac:dyDescent="0.4">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6" x14ac:dyDescent="0.4">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6" x14ac:dyDescent="0.4">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6" x14ac:dyDescent="0.4">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6" x14ac:dyDescent="0.4">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6" x14ac:dyDescent="0.4">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6" x14ac:dyDescent="0.4">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6" x14ac:dyDescent="0.4">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6" x14ac:dyDescent="0.4">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6" x14ac:dyDescent="0.4">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6" x14ac:dyDescent="0.4">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6" x14ac:dyDescent="0.4">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6" x14ac:dyDescent="0.4">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6" x14ac:dyDescent="0.4">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6" x14ac:dyDescent="0.4">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6" x14ac:dyDescent="0.4">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6" x14ac:dyDescent="0.4">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6" x14ac:dyDescent="0.4">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6" x14ac:dyDescent="0.4">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6" x14ac:dyDescent="0.4">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6" x14ac:dyDescent="0.4">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6" x14ac:dyDescent="0.4">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6" x14ac:dyDescent="0.4">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6" x14ac:dyDescent="0.4">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6" x14ac:dyDescent="0.4">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6" x14ac:dyDescent="0.4">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6" x14ac:dyDescent="0.4">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6" x14ac:dyDescent="0.4">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6" x14ac:dyDescent="0.4">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6" x14ac:dyDescent="0.4">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6" x14ac:dyDescent="0.4">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6" x14ac:dyDescent="0.4">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6" x14ac:dyDescent="0.4">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6" x14ac:dyDescent="0.4">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6" x14ac:dyDescent="0.4">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6" x14ac:dyDescent="0.4">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6" x14ac:dyDescent="0.4">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6" x14ac:dyDescent="0.4">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6" x14ac:dyDescent="0.4">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6" x14ac:dyDescent="0.4">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6" x14ac:dyDescent="0.4">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6" x14ac:dyDescent="0.4">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6" x14ac:dyDescent="0.4">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6" x14ac:dyDescent="0.4">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6" x14ac:dyDescent="0.4">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6" x14ac:dyDescent="0.4">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6" x14ac:dyDescent="0.4">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6" x14ac:dyDescent="0.4">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6" x14ac:dyDescent="0.4">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6" x14ac:dyDescent="0.4">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6" x14ac:dyDescent="0.4">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6" x14ac:dyDescent="0.4">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6" x14ac:dyDescent="0.4">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6" x14ac:dyDescent="0.4">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6" x14ac:dyDescent="0.4">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6" x14ac:dyDescent="0.4">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6" x14ac:dyDescent="0.4">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6" x14ac:dyDescent="0.4">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6" x14ac:dyDescent="0.4">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6" x14ac:dyDescent="0.4">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6" x14ac:dyDescent="0.4">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6" x14ac:dyDescent="0.4">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6" x14ac:dyDescent="0.4">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6" x14ac:dyDescent="0.4">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6" x14ac:dyDescent="0.4">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6" x14ac:dyDescent="0.4">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6" x14ac:dyDescent="0.4">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6" x14ac:dyDescent="0.4">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6" x14ac:dyDescent="0.4">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6" x14ac:dyDescent="0.4">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6" x14ac:dyDescent="0.4">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6" x14ac:dyDescent="0.4">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6" x14ac:dyDescent="0.4">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6" x14ac:dyDescent="0.4">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6" x14ac:dyDescent="0.4">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6" x14ac:dyDescent="0.4">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6" x14ac:dyDescent="0.4">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6" x14ac:dyDescent="0.4">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6" x14ac:dyDescent="0.4">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6" x14ac:dyDescent="0.4">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6" x14ac:dyDescent="0.4">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6" x14ac:dyDescent="0.4">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6" x14ac:dyDescent="0.4">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6" x14ac:dyDescent="0.4">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6" x14ac:dyDescent="0.4">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6" x14ac:dyDescent="0.4">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6" x14ac:dyDescent="0.4">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6" x14ac:dyDescent="0.4">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6" x14ac:dyDescent="0.4">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6" x14ac:dyDescent="0.4">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6" x14ac:dyDescent="0.4">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6" x14ac:dyDescent="0.4">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6" x14ac:dyDescent="0.4">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6" x14ac:dyDescent="0.4">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6" x14ac:dyDescent="0.4">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6" x14ac:dyDescent="0.4">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6" x14ac:dyDescent="0.4">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6" x14ac:dyDescent="0.4">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6" x14ac:dyDescent="0.4">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6" x14ac:dyDescent="0.4">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6" x14ac:dyDescent="0.4">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6" x14ac:dyDescent="0.4">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6" x14ac:dyDescent="0.4">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6" x14ac:dyDescent="0.4">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6" x14ac:dyDescent="0.4">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6" x14ac:dyDescent="0.4">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6" x14ac:dyDescent="0.4">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6" x14ac:dyDescent="0.4">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6" x14ac:dyDescent="0.4">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6" x14ac:dyDescent="0.4">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6" x14ac:dyDescent="0.4">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6" x14ac:dyDescent="0.4">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6" x14ac:dyDescent="0.4">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6" x14ac:dyDescent="0.4">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6" x14ac:dyDescent="0.4">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6" x14ac:dyDescent="0.4">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6" x14ac:dyDescent="0.4">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6" x14ac:dyDescent="0.4">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6" x14ac:dyDescent="0.4">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6" x14ac:dyDescent="0.4">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6" x14ac:dyDescent="0.4">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6" x14ac:dyDescent="0.4">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6" x14ac:dyDescent="0.4">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6" x14ac:dyDescent="0.4">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6" x14ac:dyDescent="0.4">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6" x14ac:dyDescent="0.4">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6" x14ac:dyDescent="0.4">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6" x14ac:dyDescent="0.4">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6" x14ac:dyDescent="0.4">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6" x14ac:dyDescent="0.4">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6" x14ac:dyDescent="0.4">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6" x14ac:dyDescent="0.4">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6" x14ac:dyDescent="0.4">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6" x14ac:dyDescent="0.4">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6" x14ac:dyDescent="0.4">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6" x14ac:dyDescent="0.4">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6" x14ac:dyDescent="0.4">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6" x14ac:dyDescent="0.4">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6" x14ac:dyDescent="0.4">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6" x14ac:dyDescent="0.4">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6" x14ac:dyDescent="0.4">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6" x14ac:dyDescent="0.4">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6" x14ac:dyDescent="0.4">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6" x14ac:dyDescent="0.4">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6" x14ac:dyDescent="0.4">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6" x14ac:dyDescent="0.4">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6" x14ac:dyDescent="0.4">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6" x14ac:dyDescent="0.4">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6" x14ac:dyDescent="0.4">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6" x14ac:dyDescent="0.4">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6" x14ac:dyDescent="0.4">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6" x14ac:dyDescent="0.4">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6" x14ac:dyDescent="0.4">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6" x14ac:dyDescent="0.4">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6" x14ac:dyDescent="0.4">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6" x14ac:dyDescent="0.4">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6" x14ac:dyDescent="0.4">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6" x14ac:dyDescent="0.4">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6" x14ac:dyDescent="0.4">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6" x14ac:dyDescent="0.4">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6" x14ac:dyDescent="0.4">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6" x14ac:dyDescent="0.4">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6" x14ac:dyDescent="0.4">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6" x14ac:dyDescent="0.4">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6" x14ac:dyDescent="0.4">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6" x14ac:dyDescent="0.4">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6" x14ac:dyDescent="0.4">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6" x14ac:dyDescent="0.4">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6" x14ac:dyDescent="0.4">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6" x14ac:dyDescent="0.4">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6" x14ac:dyDescent="0.4">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6" x14ac:dyDescent="0.4">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6" x14ac:dyDescent="0.4">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6" x14ac:dyDescent="0.4">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6" x14ac:dyDescent="0.4">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6" x14ac:dyDescent="0.4">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6" x14ac:dyDescent="0.4">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6" x14ac:dyDescent="0.4">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6" x14ac:dyDescent="0.4">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6" x14ac:dyDescent="0.4">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6" x14ac:dyDescent="0.4">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6" x14ac:dyDescent="0.4">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6" x14ac:dyDescent="0.4">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6" x14ac:dyDescent="0.4">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6" x14ac:dyDescent="0.4">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6" x14ac:dyDescent="0.4">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6" x14ac:dyDescent="0.4">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6" x14ac:dyDescent="0.4">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6" x14ac:dyDescent="0.4">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6" x14ac:dyDescent="0.4">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6" x14ac:dyDescent="0.4">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6" x14ac:dyDescent="0.4">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6" x14ac:dyDescent="0.4">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6" x14ac:dyDescent="0.4">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6" x14ac:dyDescent="0.4">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6" x14ac:dyDescent="0.4">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6" x14ac:dyDescent="0.4">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6" x14ac:dyDescent="0.4">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6" x14ac:dyDescent="0.4">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6" x14ac:dyDescent="0.4">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6" x14ac:dyDescent="0.4">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6" x14ac:dyDescent="0.4">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6" x14ac:dyDescent="0.4">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6" x14ac:dyDescent="0.4">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6" x14ac:dyDescent="0.4">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6" x14ac:dyDescent="0.4">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6" x14ac:dyDescent="0.4">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6" x14ac:dyDescent="0.4">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6" x14ac:dyDescent="0.4">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6" x14ac:dyDescent="0.4">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6" x14ac:dyDescent="0.4">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6" x14ac:dyDescent="0.4">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6" x14ac:dyDescent="0.4">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6" x14ac:dyDescent="0.4">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6" x14ac:dyDescent="0.4">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6" x14ac:dyDescent="0.4">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6" x14ac:dyDescent="0.4">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6" x14ac:dyDescent="0.4">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6" x14ac:dyDescent="0.4">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6" x14ac:dyDescent="0.4">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6" x14ac:dyDescent="0.4">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6" x14ac:dyDescent="0.4">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6" x14ac:dyDescent="0.4">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6" x14ac:dyDescent="0.4">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6" x14ac:dyDescent="0.4">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6" x14ac:dyDescent="0.4">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6" x14ac:dyDescent="0.4">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6" x14ac:dyDescent="0.4">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6" x14ac:dyDescent="0.4">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6" x14ac:dyDescent="0.4">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6" x14ac:dyDescent="0.4">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6" x14ac:dyDescent="0.4">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6" x14ac:dyDescent="0.4">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6" x14ac:dyDescent="0.4">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6" x14ac:dyDescent="0.4">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6" x14ac:dyDescent="0.4">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6" x14ac:dyDescent="0.4">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6" x14ac:dyDescent="0.4">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6" x14ac:dyDescent="0.4">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6" x14ac:dyDescent="0.4">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6" x14ac:dyDescent="0.4">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6" x14ac:dyDescent="0.4">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6" x14ac:dyDescent="0.4">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6" x14ac:dyDescent="0.4">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6" x14ac:dyDescent="0.4">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6" x14ac:dyDescent="0.4">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6" x14ac:dyDescent="0.4">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6" x14ac:dyDescent="0.4">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6" x14ac:dyDescent="0.4">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6" x14ac:dyDescent="0.4">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6" x14ac:dyDescent="0.4">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6" x14ac:dyDescent="0.4">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6" x14ac:dyDescent="0.4">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6" x14ac:dyDescent="0.4">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6" x14ac:dyDescent="0.4">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6" x14ac:dyDescent="0.4">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6" x14ac:dyDescent="0.4">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6" x14ac:dyDescent="0.4">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6" x14ac:dyDescent="0.4">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6" x14ac:dyDescent="0.4">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6" x14ac:dyDescent="0.4">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6" x14ac:dyDescent="0.4">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6" x14ac:dyDescent="0.4">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6" x14ac:dyDescent="0.4">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6" x14ac:dyDescent="0.4">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DashBoard</vt:lpstr>
      <vt:lpstr>Rating</vt:lpstr>
      <vt:lpstr>Gender</vt:lpstr>
      <vt:lpstr>Education by Attrition</vt:lpstr>
      <vt:lpstr>Attrition by Job</vt:lpstr>
      <vt:lpstr>Dept wise Attrition</vt:lpstr>
      <vt:lpstr>Attrition by Age Group</vt:lpstr>
      <vt:lpstr>Marital Status</vt:lpstr>
      <vt:lpstr>HR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2026-02-14T18:09:25Z</dcterms:created>
  <dcterms:modified xsi:type="dcterms:W3CDTF">2026-02-16T12:00:03Z</dcterms:modified>
</cp:coreProperties>
</file>